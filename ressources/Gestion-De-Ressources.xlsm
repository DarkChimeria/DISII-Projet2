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nthony\Downloads\DISII-Projet2-master\DISII-Projet2-master\ressources\"/>
    </mc:Choice>
  </mc:AlternateContent>
  <bookViews>
    <workbookView xWindow="0" yWindow="0" windowWidth="20490" windowHeight="8670" activeTab="1"/>
  </bookViews>
  <sheets>
    <sheet name="home" sheetId="1" r:id="rId1"/>
    <sheet name="documents" sheetId="3" r:id="rId2"/>
    <sheet name="infos" sheetId="6" r:id="rId3"/>
    <sheet name="graphics" sheetId="7" r:id="rId4"/>
    <sheet name="settings" sheetId="2" r:id="rId5"/>
    <sheet name="listing" sheetId="4" r:id="rId6"/>
  </sheets>
  <definedNames>
    <definedName name="auteur">settings!$G$2:OFFSET(settings!$G$2,settings!$H$1-1,,)</definedName>
    <definedName name="categories">settings!$I$2:OFFSET(settings!$I$2,settings!$J$1-1,,)</definedName>
    <definedName name="listingvba">listing!$A$2:OFFSET(listing!$A$2,listing!$G$2-1,,)</definedName>
    <definedName name="statut">settings!$E$2:OFFSET(settings!$E$2,settings!$F$1-1,,)</definedName>
    <definedName name="themes">settings!$K$2:OFFSET(settings!$K$2,settings!$L$1-1,,)</definedName>
    <definedName name="type">settings!#REF!:OFFSET(settings!#REF!,settings!$D$1-1,,)</definedName>
  </definedNames>
  <calcPr calcId="171027"/>
  <pivotCaches>
    <pivotCache cacheId="27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3" l="1"/>
  <c r="D14" i="3"/>
  <c r="E14" i="3"/>
  <c r="F14" i="3"/>
  <c r="G14" i="3"/>
  <c r="L14" i="3"/>
  <c r="M14" i="3"/>
  <c r="N14" i="3"/>
  <c r="A13" i="3"/>
  <c r="D13" i="3"/>
  <c r="E13" i="3"/>
  <c r="F13" i="3"/>
  <c r="G13" i="3"/>
  <c r="L13" i="3"/>
  <c r="M13" i="3"/>
  <c r="N13" i="3"/>
  <c r="A12" i="3"/>
  <c r="D12" i="3"/>
  <c r="E12" i="3"/>
  <c r="F12" i="3"/>
  <c r="G12" i="3"/>
  <c r="L12" i="3"/>
  <c r="M12" i="3"/>
  <c r="N12" i="3"/>
  <c r="A11" i="3"/>
  <c r="D11" i="3"/>
  <c r="E11" i="3"/>
  <c r="F11" i="3"/>
  <c r="G11" i="3"/>
  <c r="L11" i="3"/>
  <c r="M11" i="3"/>
  <c r="N11" i="3"/>
  <c r="A10" i="3"/>
  <c r="D10" i="3"/>
  <c r="E10" i="3"/>
  <c r="F10" i="3"/>
  <c r="G10" i="3"/>
  <c r="L10" i="3"/>
  <c r="M10" i="3"/>
  <c r="N10" i="3"/>
  <c r="A9" i="3" l="1"/>
  <c r="D9" i="3"/>
  <c r="E9" i="3"/>
  <c r="F9" i="3"/>
  <c r="G9" i="3"/>
  <c r="L9" i="3"/>
  <c r="M9" i="3"/>
  <c r="N9" i="3"/>
  <c r="A8" i="3" l="1"/>
  <c r="D8" i="3"/>
  <c r="E8" i="3"/>
  <c r="F8" i="3"/>
  <c r="G8" i="3"/>
  <c r="L8" i="3"/>
  <c r="M8" i="3"/>
  <c r="N8" i="3"/>
  <c r="A7" i="3"/>
  <c r="D7" i="3"/>
  <c r="E7" i="3"/>
  <c r="F7" i="3"/>
  <c r="G7" i="3"/>
  <c r="L7" i="3"/>
  <c r="M7" i="3"/>
  <c r="N7" i="3" s="1"/>
  <c r="A6" i="3"/>
  <c r="D6" i="3"/>
  <c r="E6" i="3"/>
  <c r="F6" i="3"/>
  <c r="G6" i="3"/>
  <c r="L6" i="3"/>
  <c r="M6" i="3"/>
  <c r="N6" i="3"/>
  <c r="A5" i="3" l="1"/>
  <c r="D5" i="3"/>
  <c r="E5" i="3"/>
  <c r="F5" i="3"/>
  <c r="G5" i="3"/>
  <c r="L5" i="3"/>
  <c r="M5" i="3"/>
  <c r="N5" i="3" s="1"/>
  <c r="A4" i="3"/>
  <c r="D4" i="3"/>
  <c r="E4" i="3"/>
  <c r="F4" i="3"/>
  <c r="G4" i="3"/>
  <c r="L4" i="3"/>
  <c r="M4" i="3"/>
  <c r="N4" i="3" s="1"/>
  <c r="D15" i="1" l="1"/>
  <c r="D18" i="1"/>
  <c r="D17" i="1"/>
  <c r="D16" i="1"/>
  <c r="D3" i="3" l="1"/>
  <c r="D2" i="3"/>
  <c r="M2" i="3" l="1"/>
  <c r="N2" i="3" s="1"/>
  <c r="M3" i="3"/>
  <c r="N3" i="3" s="1"/>
  <c r="L2" i="3" l="1"/>
  <c r="L3" i="3"/>
  <c r="E2" i="3"/>
  <c r="E3" i="3"/>
  <c r="F2" i="3"/>
  <c r="F3" i="3"/>
  <c r="G2" i="3"/>
  <c r="G3" i="3"/>
  <c r="A3" i="3" l="1"/>
  <c r="G2" i="4"/>
  <c r="L1" i="2" l="1"/>
  <c r="J1" i="2"/>
  <c r="H1" i="2"/>
  <c r="F1" i="2"/>
  <c r="D1" i="2"/>
  <c r="A2" i="3"/>
  <c r="D14" i="1" s="1"/>
  <c r="E14" i="1" s="1"/>
  <c r="F14" i="1" s="1"/>
</calcChain>
</file>

<file path=xl/sharedStrings.xml><?xml version="1.0" encoding="utf-8"?>
<sst xmlns="http://schemas.openxmlformats.org/spreadsheetml/2006/main" count="189" uniqueCount="108">
  <si>
    <t>type</t>
  </si>
  <si>
    <t>id</t>
  </si>
  <si>
    <t>description</t>
  </si>
  <si>
    <t>nom de fichier</t>
  </si>
  <si>
    <t>afficher</t>
  </si>
  <si>
    <t>date de création</t>
  </si>
  <si>
    <t>date de modification</t>
  </si>
  <si>
    <t>auteur</t>
  </si>
  <si>
    <t>catégories</t>
  </si>
  <si>
    <t>thèmes</t>
  </si>
  <si>
    <t>statut</t>
  </si>
  <si>
    <t>taille</t>
  </si>
  <si>
    <t>incrementation_text</t>
  </si>
  <si>
    <t>incrementation_number</t>
  </si>
  <si>
    <t>DOC_</t>
  </si>
  <si>
    <t>vérifié</t>
  </si>
  <si>
    <t>en attente</t>
  </si>
  <si>
    <t>archivé</t>
  </si>
  <si>
    <t>refusé</t>
  </si>
  <si>
    <t>test</t>
  </si>
  <si>
    <t>Théophile</t>
  </si>
  <si>
    <t xml:space="preserve">Corentin </t>
  </si>
  <si>
    <t xml:space="preserve">Jacques </t>
  </si>
  <si>
    <t>Shaïma</t>
  </si>
  <si>
    <t>Anthony</t>
  </si>
  <si>
    <t>categories</t>
  </si>
  <si>
    <t>themes</t>
  </si>
  <si>
    <t>emplacement</t>
  </si>
  <si>
    <t>Composition des groupes.xlsx</t>
  </si>
  <si>
    <t>affichage</t>
  </si>
  <si>
    <t>Ouvrir le document</t>
  </si>
  <si>
    <t>C:\wamp64\www\sites\p2\DISII-Projet2\ressources\</t>
  </si>
  <si>
    <t>Sujet Projet 02.pdf</t>
  </si>
  <si>
    <t>Caché</t>
  </si>
  <si>
    <t>date d'accès</t>
  </si>
  <si>
    <t>nom</t>
  </si>
  <si>
    <t>taille (octet)</t>
  </si>
  <si>
    <t>date creation</t>
  </si>
  <si>
    <t>date modification</t>
  </si>
  <si>
    <t>date accès</t>
  </si>
  <si>
    <t>Sujet du projet 2 - SITE DYNAMIQUE PHP MVC</t>
  </si>
  <si>
    <t>Composition des 3 groupes du projet 2</t>
  </si>
  <si>
    <t>HOME</t>
  </si>
  <si>
    <t>Informations générales :</t>
  </si>
  <si>
    <t>Documents en attente de vérification :</t>
  </si>
  <si>
    <t>Documents archivés :</t>
  </si>
  <si>
    <t>Documents vérifiés :</t>
  </si>
  <si>
    <t>Nombre de documents listés :</t>
  </si>
  <si>
    <t>Nombre de documents indexés :</t>
  </si>
  <si>
    <t>methodes-agiles-veille.docx</t>
  </si>
  <si>
    <t>DOCUMENTS</t>
  </si>
  <si>
    <t>SETTINGS</t>
  </si>
  <si>
    <t>LISTING</t>
  </si>
  <si>
    <t>Étiquettes de lignes</t>
  </si>
  <si>
    <t>pdf</t>
  </si>
  <si>
    <t>xlsx</t>
  </si>
  <si>
    <t>Total général</t>
  </si>
  <si>
    <t>Nombre de id</t>
  </si>
  <si>
    <t>Analyse</t>
  </si>
  <si>
    <t>Design</t>
  </si>
  <si>
    <t>Développement</t>
  </si>
  <si>
    <t>Logo</t>
  </si>
  <si>
    <t>DOC_1001</t>
  </si>
  <si>
    <t>DOC_1002</t>
  </si>
  <si>
    <t>Nombre de statut</t>
  </si>
  <si>
    <t>INFOS</t>
  </si>
  <si>
    <t>GRAPHICS</t>
  </si>
  <si>
    <t>Veille thématique sur les méthodes agiles (Alexandre et Anthony</t>
  </si>
  <si>
    <t>DOC_1003</t>
  </si>
  <si>
    <t>docx</t>
  </si>
  <si>
    <t>Nombre de documents par personne</t>
  </si>
  <si>
    <t>Pourcentage / Général</t>
  </si>
  <si>
    <t>Proposition d.docx</t>
  </si>
  <si>
    <t>Utilisation de lilo.org</t>
  </si>
  <si>
    <t>DOC_1004</t>
  </si>
  <si>
    <t>Poids en Mo</t>
  </si>
  <si>
    <t>suivi_projet.xlsx</t>
  </si>
  <si>
    <t>AdminLTE-2-3-11.zip</t>
  </si>
  <si>
    <t>Tiers</t>
  </si>
  <si>
    <t>commentaires</t>
  </si>
  <si>
    <t>https://almsaeedstudio.com/</t>
  </si>
  <si>
    <t>Dashboard Admin exemple</t>
  </si>
  <si>
    <t>Objectifs-du-Projet-2.docx</t>
  </si>
  <si>
    <t>Objectifs du projet 2 (synthétique)</t>
  </si>
  <si>
    <t>Suivi de projet - gestion des tâches</t>
  </si>
  <si>
    <t>zip</t>
  </si>
  <si>
    <t>DOC_1005</t>
  </si>
  <si>
    <t>DOC_1006</t>
  </si>
  <si>
    <t>DOC_1007</t>
  </si>
  <si>
    <t>Diagramme-de-Gantt-sur-Excel-v2.xlsx</t>
  </si>
  <si>
    <t>DOC_1008</t>
  </si>
  <si>
    <t>BDprojet2</t>
  </si>
  <si>
    <t>Diagramme-de-Gantt-sur-Excel-v3.xlsx</t>
  </si>
  <si>
    <t>dictionnaire de données.xlsx</t>
  </si>
  <si>
    <t>Objectifs-du-Projet-2-FULL.docx</t>
  </si>
  <si>
    <t>scenario.psd</t>
  </si>
  <si>
    <t>MCD jMerise</t>
  </si>
  <si>
    <t>Présentation Scénario</t>
  </si>
  <si>
    <t>#VALEUR!</t>
  </si>
  <si>
    <t>psd</t>
  </si>
  <si>
    <t>DOC_1009</t>
  </si>
  <si>
    <t>DOC_1010</t>
  </si>
  <si>
    <t>DOC_1011</t>
  </si>
  <si>
    <t>Somme de taille (octets)</t>
  </si>
  <si>
    <t>Dictionnaire des données projet 2</t>
  </si>
  <si>
    <t>Diagramme de Gantt et répartition des tâches</t>
  </si>
  <si>
    <t>DOC_1012</t>
  </si>
  <si>
    <t>DOC_1013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</si>
</sst>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&quot; octets&quot;"/>
    <numFmt numFmtId="165" formatCode="0.00&quot; Mo&quot;"/>
  </numFmts>
  <fonts count="9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9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22" fontId="0" fillId="0" borderId="0" xfId="0" applyNumberFormat="1"/>
    <xf numFmtId="0" fontId="4" fillId="2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 wrapText="1"/>
    </xf>
    <xf numFmtId="164" fontId="0" fillId="3" borderId="3" xfId="0" applyNumberFormat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/>
    </xf>
    <xf numFmtId="22" fontId="0" fillId="3" borderId="3" xfId="0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0" fillId="0" borderId="5" xfId="0" applyBorder="1"/>
    <xf numFmtId="0" fontId="2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6" fillId="4" borderId="4" xfId="2" applyBorder="1" applyAlignment="1">
      <alignment horizontal="center"/>
    </xf>
    <xf numFmtId="0" fontId="6" fillId="5" borderId="4" xfId="3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6" fillId="6" borderId="4" xfId="4" applyBorder="1" applyAlignment="1">
      <alignment horizontal="center" vertical="center"/>
    </xf>
    <xf numFmtId="165" fontId="0" fillId="0" borderId="0" xfId="0" applyNumberFormat="1"/>
    <xf numFmtId="0" fontId="3" fillId="3" borderId="0" xfId="1" applyFont="1" applyFill="1" applyBorder="1" applyAlignment="1">
      <alignment horizontal="center" vertical="center"/>
    </xf>
    <xf numFmtId="0" fontId="2" fillId="3" borderId="0" xfId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3" xfId="1" applyFont="1" applyFill="1" applyBorder="1" applyAlignment="1">
      <alignment horizontal="center" vertical="center"/>
    </xf>
  </cellXfs>
  <cellStyles count="5">
    <cellStyle name="Accent1" xfId="2" builtinId="29"/>
    <cellStyle name="Accent2" xfId="3" builtinId="33"/>
    <cellStyle name="Accent6" xfId="4" builtinId="49"/>
    <cellStyle name="Lien hypertexte" xfId="1" builtinId="8"/>
    <cellStyle name="Normal" xfId="0" builtinId="0"/>
  </cellStyles>
  <dxfs count="41">
    <dxf>
      <numFmt numFmtId="166" formatCode="0.0&quot; octets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5" formatCode="0.00&quot; Mo&quot;"/>
    </dxf>
    <dxf>
      <numFmt numFmtId="166" formatCode="0.0&quot; octets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5" formatCode="0.00&quot; Mo&quot;"/>
    </dxf>
    <dxf>
      <numFmt numFmtId="166" formatCode="0.0&quot; octets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5" formatCode="0.00&quot; Mo&quot;"/>
    </dxf>
    <dxf>
      <numFmt numFmtId="165" formatCode="0.00&quot; Mo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6" formatCode="0.0&quot; octets&quot;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border outline="0">
        <left style="thin">
          <color theme="5" tint="0.39997558519241921"/>
        </lef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[Gestion-De-Ressources.xlsm]graphics!Tableau croisé dynamique5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graphics!$B$2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4E-404D-8B56-90FDE4E33A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74E-404D-8B56-90FDE4E33AB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74E-404D-8B56-90FDE4E33A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graphics!$A$3:$A$6</c:f>
              <c:strCache>
                <c:ptCount val="3"/>
                <c:pt idx="0">
                  <c:v>en attente</c:v>
                </c:pt>
                <c:pt idx="1">
                  <c:v>vérifié</c:v>
                </c:pt>
                <c:pt idx="2">
                  <c:v>refusé</c:v>
                </c:pt>
              </c:strCache>
            </c:strRef>
          </c:cat>
          <c:val>
            <c:numRef>
              <c:f>graphics!$B$3:$B$6</c:f>
              <c:numCache>
                <c:formatCode>General</c:formatCode>
                <c:ptCount val="3"/>
                <c:pt idx="0">
                  <c:v>11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0-4CF2-AE5C-79FB620C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</xdr:row>
      <xdr:rowOff>9525</xdr:rowOff>
    </xdr:from>
    <xdr:to>
      <xdr:col>9</xdr:col>
      <xdr:colOff>9525</xdr:colOff>
      <xdr:row>15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0</xdr:rowOff>
        </xdr:from>
        <xdr:to>
          <xdr:col>8</xdr:col>
          <xdr:colOff>752475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thony Slimani" refreshedDate="42753.311772569446" createdVersion="6" refreshedVersion="6" minRefreshableVersion="3" recordCount="13">
  <cacheSource type="worksheet">
    <worksheetSource name="listingressources"/>
  </cacheSource>
  <cacheFields count="16">
    <cacheField name="id" numFmtId="0">
      <sharedItems count="13">
        <s v="DOC_1001"/>
        <s v="DOC_1002"/>
        <s v="DOC_1003"/>
        <s v="DOC_1004"/>
        <s v="DOC_1005"/>
        <s v="DOC_1006"/>
        <s v="DOC_1007"/>
        <s v="DOC_1008"/>
        <s v="DOC_1009"/>
        <s v="DOC_1010"/>
        <s v="DOC_1011"/>
        <s v="DOC_1012"/>
        <s v="DOC_1013"/>
      </sharedItems>
    </cacheField>
    <cacheField name="nom de fichier" numFmtId="0">
      <sharedItems count="13">
        <s v="Sujet Projet 02.pdf"/>
        <s v="Composition des groupes.xlsx"/>
        <s v="methodes-agiles-veille.docx"/>
        <s v="Proposition d.docx"/>
        <s v="AdminLTE-2-3-11.zip"/>
        <s v="Objectifs-du-Projet-2.docx"/>
        <s v="suivi_projet.xlsx"/>
        <s v="Diagramme-de-Gantt-sur-Excel-v2.xlsx"/>
        <s v="Objectifs-du-Projet-2-FULL.docx"/>
        <s v="BDprojet2"/>
        <s v="scenario.psd"/>
        <s v="dictionnaire de données.xlsx"/>
        <s v="Diagramme-de-Gantt-sur-Excel-v3.xlsx"/>
      </sharedItems>
    </cacheField>
    <cacheField name="description" numFmtId="0">
      <sharedItems containsBlank="1"/>
    </cacheField>
    <cacheField name="type" numFmtId="0">
      <sharedItems count="6">
        <s v="pdf"/>
        <s v="xlsx"/>
        <s v="docx"/>
        <s v="zip"/>
        <e v="#VALUE!"/>
        <s v="psd"/>
      </sharedItems>
    </cacheField>
    <cacheField name="date de création" numFmtId="22">
      <sharedItems containsSemiMixedTypes="0" containsNonDate="0" containsDate="1" containsString="0" minDate="2017-01-18T07:09:03" maxDate="2017-01-18T07:09:03"/>
    </cacheField>
    <cacheField name="date de modification" numFmtId="22">
      <sharedItems containsSemiMixedTypes="0" containsNonDate="0" containsDate="1" containsString="0" minDate="2017-01-17T07:56:52" maxDate="2017-01-17T07:56:52"/>
    </cacheField>
    <cacheField name="date d'accès" numFmtId="22">
      <sharedItems containsSemiMixedTypes="0" containsNonDate="0" containsDate="1" containsString="0" minDate="2017-01-18T07:09:03" maxDate="2017-01-18T07:09:03"/>
    </cacheField>
    <cacheField name="auteur" numFmtId="0">
      <sharedItems containsBlank="1" count="5">
        <s v="Corentin "/>
        <s v="Théophile"/>
        <s v="Anthony"/>
        <s v="Tiers"/>
        <m u="1"/>
      </sharedItems>
    </cacheField>
    <cacheField name="catégories" numFmtId="0">
      <sharedItems containsBlank="1" containsMixedTypes="1" containsNumber="1" containsInteger="1" minValue="1" maxValue="1" count="4">
        <s v="Analyse"/>
        <s v="Développement"/>
        <m/>
        <n v="1" u="1"/>
      </sharedItems>
    </cacheField>
    <cacheField name="thèmes" numFmtId="0">
      <sharedItems containsBlank="1" count="3">
        <s v="Design"/>
        <s v="Logo"/>
        <m/>
      </sharedItems>
    </cacheField>
    <cacheField name="statut" numFmtId="0">
      <sharedItems containsBlank="1" count="4">
        <s v="vérifié"/>
        <s v="en attente"/>
        <s v="refusé"/>
        <m u="1"/>
      </sharedItems>
    </cacheField>
    <cacheField name="taille" numFmtId="164">
      <sharedItems containsSemiMixedTypes="0" containsString="0" containsNumber="1" containsInteger="1" minValue="7466" maxValue="7509802"/>
    </cacheField>
    <cacheField name="emplacement" numFmtId="164">
      <sharedItems/>
    </cacheField>
    <cacheField name="afficher" numFmtId="0">
      <sharedItems/>
    </cacheField>
    <cacheField name="commentaires" numFmtId="0">
      <sharedItems containsBlank="1"/>
    </cacheField>
    <cacheField name="Champ1" numFmtId="0" formula="SUM(taille/1000000)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">
  <r>
    <x v="0"/>
    <x v="0"/>
    <s v="Sujet du projet 2 - SITE DYNAMIQUE PHP MVC"/>
    <x v="0"/>
    <d v="2017-01-18T07:09:03"/>
    <d v="2017-01-17T07:56:52"/>
    <d v="2017-01-18T07:09:03"/>
    <x v="0"/>
    <x v="0"/>
    <x v="0"/>
    <x v="0"/>
    <n v="49137"/>
    <s v="C:\wamp64\www\sites\p2\DISII-Projet2\ressources\stockage\"/>
    <s v="Ouvrir le document"/>
    <m/>
  </r>
  <r>
    <x v="1"/>
    <x v="1"/>
    <s v="Composition des 3 groupes du projet 2"/>
    <x v="1"/>
    <d v="2017-01-18T07:09:03"/>
    <d v="2017-01-17T07:56:52"/>
    <d v="2017-01-18T07:09:03"/>
    <x v="1"/>
    <x v="1"/>
    <x v="1"/>
    <x v="1"/>
    <n v="8339"/>
    <s v="C:\wamp64\www\sites\p2\DISII-Projet2\ressources\stockage\"/>
    <s v="Ouvrir le document"/>
    <m/>
  </r>
  <r>
    <x v="2"/>
    <x v="2"/>
    <s v="Veille thématique sur les méthodes agiles (Alexandre et Anthony"/>
    <x v="2"/>
    <d v="2017-01-18T07:09:03"/>
    <d v="2017-01-17T07:56:52"/>
    <d v="2017-01-18T07:09:03"/>
    <x v="2"/>
    <x v="0"/>
    <x v="0"/>
    <x v="2"/>
    <n v="708436"/>
    <s v="C:\wamp64\www\sites\p2\DISII-Projet2\ressources\stockage\"/>
    <s v="Ouvrir le document"/>
    <m/>
  </r>
  <r>
    <x v="3"/>
    <x v="3"/>
    <s v="Utilisation de lilo.org"/>
    <x v="2"/>
    <d v="2017-01-18T07:09:03"/>
    <d v="2017-01-17T07:56:52"/>
    <d v="2017-01-18T07:09:03"/>
    <x v="2"/>
    <x v="0"/>
    <x v="0"/>
    <x v="1"/>
    <n v="30815"/>
    <s v="C:\wamp64\www\sites\p2\DISII-Projet2\ressources\stockage\"/>
    <s v="Ouvrir le document"/>
    <m/>
  </r>
  <r>
    <x v="4"/>
    <x v="4"/>
    <s v="Dashboard Admin exemple"/>
    <x v="3"/>
    <d v="2017-01-18T07:09:03"/>
    <d v="2017-01-17T07:56:52"/>
    <d v="2017-01-18T07:09:03"/>
    <x v="3"/>
    <x v="2"/>
    <x v="2"/>
    <x v="1"/>
    <n v="7509802"/>
    <s v="C:\wamp64\www\sites\p2\DISII-Projet2\ressources\stockage\"/>
    <s v="Ouvrir le document"/>
    <s v="https://almsaeedstudio.com/"/>
  </r>
  <r>
    <x v="5"/>
    <x v="5"/>
    <s v="Objectifs du projet 2 (synthétique)"/>
    <x v="2"/>
    <d v="2017-01-18T07:09:03"/>
    <d v="2017-01-17T07:56:52"/>
    <d v="2017-01-18T07:09:03"/>
    <x v="2"/>
    <x v="0"/>
    <x v="0"/>
    <x v="1"/>
    <n v="69526"/>
    <s v="C:\wamp64\www\sites\p2\DISII-Projet2\ressources\stockage\"/>
    <s v="Ouvrir le document"/>
    <m/>
  </r>
  <r>
    <x v="6"/>
    <x v="6"/>
    <s v="Suivi de projet - gestion des tâches"/>
    <x v="1"/>
    <d v="2017-01-18T07:09:03"/>
    <d v="2017-01-17T07:56:52"/>
    <d v="2017-01-18T07:09:03"/>
    <x v="2"/>
    <x v="0"/>
    <x v="2"/>
    <x v="1"/>
    <n v="191692"/>
    <s v="C:\wamp64\www\sites\p2\DISII-Projet2\ressources\stockage\"/>
    <s v="Ouvrir le document"/>
    <m/>
  </r>
  <r>
    <x v="7"/>
    <x v="7"/>
    <m/>
    <x v="1"/>
    <d v="2017-01-18T07:09:03"/>
    <d v="2017-01-17T07:56:52"/>
    <d v="2017-01-18T07:09:03"/>
    <x v="0"/>
    <x v="0"/>
    <x v="2"/>
    <x v="1"/>
    <n v="22014"/>
    <s v="C:\wamp64\www\sites\p2\DISII-Projet2\ressources\stockage\"/>
    <s v="Ouvrir le document"/>
    <m/>
  </r>
  <r>
    <x v="8"/>
    <x v="8"/>
    <m/>
    <x v="2"/>
    <d v="2017-01-18T07:09:03"/>
    <d v="2017-01-17T07:56:52"/>
    <d v="2017-01-18T07:09:03"/>
    <x v="2"/>
    <x v="0"/>
    <x v="2"/>
    <x v="1"/>
    <n v="34629"/>
    <s v="C:\wamp64\www\sites\p2\DISII-Projet2\ressources\stockage\"/>
    <s v="Ouvrir le document"/>
    <m/>
  </r>
  <r>
    <x v="9"/>
    <x v="9"/>
    <s v="MCD jMerise"/>
    <x v="4"/>
    <d v="2017-01-18T07:09:03"/>
    <d v="2017-01-17T07:56:52"/>
    <d v="2017-01-18T07:09:03"/>
    <x v="1"/>
    <x v="0"/>
    <x v="2"/>
    <x v="1"/>
    <n v="7466"/>
    <s v="C:\wamp64\www\sites\p2\DISII-Projet2\ressources\stockage\"/>
    <s v="Ouvrir le document"/>
    <m/>
  </r>
  <r>
    <x v="10"/>
    <x v="10"/>
    <s v="Présentation Scénario"/>
    <x v="5"/>
    <d v="2017-01-18T07:09:03"/>
    <d v="2017-01-17T07:56:52"/>
    <d v="2017-01-18T07:09:03"/>
    <x v="2"/>
    <x v="0"/>
    <x v="2"/>
    <x v="1"/>
    <n v="1523760"/>
    <s v="C:\wamp64\www\sites\p2\DISII-Projet2\ressources\stockage\"/>
    <s v="Ouvrir le document"/>
    <m/>
  </r>
  <r>
    <x v="11"/>
    <x v="11"/>
    <s v="Dictionnaire des données projet 2"/>
    <x v="1"/>
    <d v="2017-01-18T07:09:03"/>
    <d v="2017-01-17T07:56:52"/>
    <d v="2017-01-18T07:09:03"/>
    <x v="1"/>
    <x v="0"/>
    <x v="2"/>
    <x v="1"/>
    <n v="17459"/>
    <s v="C:\wamp64\www\sites\p2\DISII-Projet2\ressources\stockage\"/>
    <s v="Ouvrir le document"/>
    <m/>
  </r>
  <r>
    <x v="12"/>
    <x v="12"/>
    <s v="Diagramme de Gantt et répartition des tâches"/>
    <x v="1"/>
    <d v="2017-01-18T07:09:03"/>
    <d v="2017-01-17T07:56:52"/>
    <d v="2017-01-18T07:09:03"/>
    <x v="0"/>
    <x v="0"/>
    <x v="2"/>
    <x v="1"/>
    <n v="33058"/>
    <s v="C:\wamp64\www\sites\p2\DISII-Projet2\ressources\stockage\"/>
    <s v="Ouvrir le document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2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D3:E6" firstHeaderRow="1" firstDataRow="1" firstDataCol="1"/>
  <pivotFields count="16">
    <pivotField dataField="1"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axis="axisRow" showAll="0">
      <items count="5">
        <item h="1" m="1" x="3"/>
        <item x="0"/>
        <item x="1"/>
        <item h="1" x="2"/>
        <item t="default"/>
      </items>
    </pivotField>
    <pivotField showAll="0"/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8"/>
  </rowFields>
  <rowItems count="3">
    <i>
      <x v="1"/>
    </i>
    <i>
      <x v="2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1" cacheId="2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10" firstHeaderRow="1" firstDataRow="1" firstDataCol="1"/>
  <pivotFields count="16">
    <pivotField dataField="1"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  <pivotField numFmtId="22" showAll="0"/>
    <pivotField numFmtId="22" showAll="0"/>
    <pivotField numFmtId="22" showAll="0"/>
    <pivotField showAll="0"/>
    <pivotField showAll="0"/>
    <pivotField showAll="0"/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6" cacheId="2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F20:G25" firstHeaderRow="1" firstDataRow="1" firstDataCol="1"/>
  <pivotFields count="16">
    <pivotField showAll="0"/>
    <pivotField showAll="0"/>
    <pivotField showAll="0"/>
    <pivotField showAll="0"/>
    <pivotField numFmtId="22" showAll="0"/>
    <pivotField numFmtId="22" showAll="0"/>
    <pivotField numFmtId="22" showAll="0"/>
    <pivotField axis="axisRow" dataField="1" showAll="0">
      <items count="6">
        <item x="2"/>
        <item x="0"/>
        <item x="1"/>
        <item x="3"/>
        <item m="1" x="4"/>
        <item t="default"/>
      </items>
    </pivotField>
    <pivotField showAll="0"/>
    <pivotField showAll="0"/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Nombre de documents par personne" fld="7" subtotal="count" baseField="0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4" cacheId="2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20:D34" firstHeaderRow="0" firstDataRow="1" firstDataCol="1"/>
  <pivotFields count="16"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  <pivotField axis="axisRow" showAll="0">
      <items count="14">
        <item sd="0" x="1"/>
        <item sd="0" x="0"/>
        <item x="2"/>
        <item x="3"/>
        <item sd="0" x="4"/>
        <item sd="0" x="5"/>
        <item sd="0" x="6"/>
        <item sd="0" x="7"/>
        <item x="8"/>
        <item x="9"/>
        <item x="10"/>
        <item x="11"/>
        <item x="12"/>
        <item t="default"/>
      </items>
    </pivotField>
    <pivotField showAll="0"/>
    <pivotField showAll="0"/>
    <pivotField numFmtId="22" showAll="0"/>
    <pivotField numFmtId="22" showAll="0"/>
    <pivotField numFmtId="22" showAll="0"/>
    <pivotField showAll="0"/>
    <pivotField axis="axisRow" showAll="0">
      <items count="5">
        <item m="1" x="3"/>
        <item x="0"/>
        <item x="1"/>
        <item x="2"/>
        <item t="default"/>
      </items>
    </pivotField>
    <pivotField showAll="0"/>
    <pivotField showAll="0"/>
    <pivotField dataField="1" numFmtId="164" showAll="0"/>
    <pivotField showAll="0"/>
    <pivotField showAll="0"/>
    <pivotField showAll="0" defaultSubtotal="0"/>
    <pivotField dataField="1" dragToRow="0" dragToCol="0" dragToPage="0" showAll="0" defaultSubtotal="0"/>
  </pivotFields>
  <rowFields count="3">
    <field x="0"/>
    <field x="1"/>
    <field x="8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taille (octets)" fld="11" baseField="0" baseItem="0"/>
    <dataField name="Pourcentage / Général" fld="11" showDataAs="percentOfTotal" baseField="0" baseItem="0" numFmtId="10"/>
    <dataField name="Poids en Mo" fld="15" baseField="0" baseItem="0" numFmtId="165"/>
  </dataFields>
  <formats count="5">
    <format dxfId="19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8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3" cacheId="2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G3:H6" firstHeaderRow="1" firstDataRow="1" firstDataCol="1"/>
  <pivotFields count="16">
    <pivotField dataField="1"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showAll="0"/>
    <pivotField axis="axisRow" showAll="0">
      <items count="4">
        <item x="0"/>
        <item x="1"/>
        <item h="1" x="2"/>
        <item t="default"/>
      </items>
    </pivotField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eau croisé dynamique5" cacheId="27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2:B6" firstHeaderRow="1" firstDataRow="1" firstDataCol="1"/>
  <pivotFields count="16">
    <pivotField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showAll="0"/>
    <pivotField showAll="0"/>
    <pivotField axis="axisRow" dataField="1" showAll="0">
      <items count="5">
        <item x="1"/>
        <item x="0"/>
        <item x="2"/>
        <item m="1" x="3"/>
        <item t="default"/>
      </items>
    </pivotField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statut" fld="10" subtotal="count" baseField="0" baseItem="0"/>
  </dataFields>
  <chartFormats count="4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listingressources" displayName="listingressources" ref="A1:O14" totalsRowShown="0" headerRowDxfId="35" tableBorderDxfId="34">
  <autoFilter ref="A1:O14"/>
  <tableColumns count="15">
    <tableColumn id="1" name="id" dataDxfId="33">
      <calculatedColumnFormula>IF(NOT(ISBLANK(B2)),CONCATENATE(settings!$A$2,settings!B2),"")</calculatedColumnFormula>
    </tableColumn>
    <tableColumn id="2" name="nom de fichier" dataDxfId="32"/>
    <tableColumn id="3" name="description" dataDxfId="31"/>
    <tableColumn id="4" name="type" dataDxfId="30">
      <calculatedColumnFormula>RIGHT(B2,LEN(B2)-SEARCH(".",B2,1))</calculatedColumnFormula>
    </tableColumn>
    <tableColumn id="5" name="date de création" dataDxfId="29">
      <calculatedColumnFormula>VLOOKUP(B2,listing!$A$2:$E$700, 3, FALSE)</calculatedColumnFormula>
    </tableColumn>
    <tableColumn id="6" name="date de modification" dataDxfId="28">
      <calculatedColumnFormula>VLOOKUP(B2,listing!$A$2:$E$700, 4, FALSE)</calculatedColumnFormula>
    </tableColumn>
    <tableColumn id="7" name="date d'accès" dataDxfId="27">
      <calculatedColumnFormula>VLOOKUP(B2,listing!$A$2:$E$700, 5, FALSE)</calculatedColumnFormula>
    </tableColumn>
    <tableColumn id="8" name="auteur" dataDxfId="26"/>
    <tableColumn id="9" name="catégories" dataDxfId="25"/>
    <tableColumn id="10" name="thèmes" dataDxfId="24"/>
    <tableColumn id="11" name="statut" dataDxfId="23"/>
    <tableColumn id="12" name="taille" dataDxfId="22">
      <calculatedColumnFormula>VLOOKUP(B2,listing!$A$2:$E$700,2, FALSE)</calculatedColumnFormula>
    </tableColumn>
    <tableColumn id="13" name="emplacement" dataDxfId="21">
      <calculatedColumnFormula>CONCATENATE(listing!$H$2,"stockage\")</calculatedColumnFormula>
    </tableColumn>
    <tableColumn id="14" name="afficher">
      <calculatedColumnFormula>IF(AND(B2&lt;&gt;"",M2&lt;&gt;""),HYPERLINK(CONCATENATE(M2,"\stockage\",B2),settings!$C$2),"")</calculatedColumnFormula>
    </tableColumn>
    <tableColumn id="15" name="commentaires" dataDxfId="20" dataCellStyle="Lien hypertex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18"/>
  <sheetViews>
    <sheetView workbookViewId="0">
      <selection activeCell="D21" sqref="D21"/>
    </sheetView>
  </sheetViews>
  <sheetFormatPr baseColWidth="10" defaultRowHeight="15" x14ac:dyDescent="0.25"/>
  <cols>
    <col min="1" max="5" width="15.7109375" customWidth="1"/>
  </cols>
  <sheetData>
    <row r="1" spans="1:20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</row>
    <row r="2" spans="1:20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</row>
    <row r="3" spans="1:20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</row>
    <row r="4" spans="1:20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</row>
    <row r="5" spans="1:20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</row>
    <row r="6" spans="1:20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</row>
    <row r="7" spans="1:20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</row>
    <row r="8" spans="1:20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20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</row>
    <row r="10" spans="1:20" x14ac:dyDescent="0.25">
      <c r="A10" s="16" t="s">
        <v>42</v>
      </c>
      <c r="B10" s="16" t="s">
        <v>50</v>
      </c>
      <c r="C10" s="22" t="s">
        <v>65</v>
      </c>
      <c r="D10" s="22" t="s">
        <v>66</v>
      </c>
      <c r="E10" s="17" t="s">
        <v>51</v>
      </c>
      <c r="F10" s="17" t="s">
        <v>52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</row>
    <row r="13" spans="1:20" x14ac:dyDescent="0.25">
      <c r="A13" s="28" t="s">
        <v>43</v>
      </c>
      <c r="B13" s="28"/>
    </row>
    <row r="14" spans="1:20" x14ac:dyDescent="0.25">
      <c r="A14" s="28" t="s">
        <v>48</v>
      </c>
      <c r="B14" s="28"/>
      <c r="C14" s="28"/>
      <c r="D14">
        <f>COUNTA(documents!A2:A699)</f>
        <v>13</v>
      </c>
      <c r="E14" s="26" t="str">
        <f>IF(D15-D14=0,"OK","Oups")</f>
        <v>OK</v>
      </c>
      <c r="F14" s="27" t="str">
        <f>IF(E14="Oups","Il existe une différence entre le listing et l'indexation. Veuillez actualiser les informations","La liste du dossier et l'indexation semblent communes")</f>
        <v>La liste du dossier et l'indexation semblent communes</v>
      </c>
      <c r="G14" s="27"/>
      <c r="H14" s="27"/>
      <c r="I14" s="27"/>
      <c r="J14" s="27"/>
      <c r="K14" s="27"/>
      <c r="L14" s="27"/>
    </row>
    <row r="15" spans="1:20" x14ac:dyDescent="0.25">
      <c r="A15" s="28" t="s">
        <v>47</v>
      </c>
      <c r="B15" s="28"/>
      <c r="C15" s="28"/>
      <c r="D15">
        <f>COUNTA(listing!A2:A699)</f>
        <v>13</v>
      </c>
      <c r="E15" s="26"/>
      <c r="F15" s="27"/>
      <c r="G15" s="27"/>
      <c r="H15" s="27"/>
      <c r="I15" s="27"/>
      <c r="J15" s="27"/>
      <c r="K15" s="27"/>
      <c r="L15" s="27"/>
    </row>
    <row r="16" spans="1:20" x14ac:dyDescent="0.25">
      <c r="A16" s="28" t="s">
        <v>44</v>
      </c>
      <c r="B16" s="28"/>
      <c r="C16" s="28"/>
      <c r="D16">
        <f>COUNTIF(documents!K2:K699,"En Attente")</f>
        <v>11</v>
      </c>
    </row>
    <row r="17" spans="1:4" x14ac:dyDescent="0.25">
      <c r="A17" s="28" t="s">
        <v>45</v>
      </c>
      <c r="B17" s="28"/>
      <c r="C17" s="28"/>
      <c r="D17">
        <f>COUNTIF(documents!K2:K699,"Archivé")</f>
        <v>0</v>
      </c>
    </row>
    <row r="18" spans="1:4" x14ac:dyDescent="0.25">
      <c r="A18" s="28" t="s">
        <v>46</v>
      </c>
      <c r="B18" s="28"/>
      <c r="C18" s="28"/>
      <c r="D18">
        <f>COUNTIF(documents!K2:K699,"Vérifié")</f>
        <v>1</v>
      </c>
    </row>
  </sheetData>
  <mergeCells count="8">
    <mergeCell ref="A18:C18"/>
    <mergeCell ref="A14:C14"/>
    <mergeCell ref="A15:C15"/>
    <mergeCell ref="E14:E15"/>
    <mergeCell ref="F14:L15"/>
    <mergeCell ref="A13:B13"/>
    <mergeCell ref="A16:C16"/>
    <mergeCell ref="A17:C17"/>
  </mergeCells>
  <conditionalFormatting sqref="E14:E15">
    <cfRule type="containsText" dxfId="40" priority="4" operator="containsText" text="OK">
      <formula>NOT(ISERROR(SEARCH("OK",E14)))</formula>
    </cfRule>
    <cfRule type="containsText" dxfId="39" priority="2" operator="containsText" text="Oups">
      <formula>NOT(ISERROR(SEARCH("Oups",E14)))</formula>
    </cfRule>
  </conditionalFormatting>
  <conditionalFormatting sqref="F14:L15">
    <cfRule type="containsText" dxfId="38" priority="3" operator="containsText" text="La liste du dossier et l'indexation semblent communes">
      <formula>NOT(ISERROR(SEARCH("La liste du dossier et l'indexation semblent communes",F14)))</formula>
    </cfRule>
    <cfRule type="containsText" dxfId="37" priority="1" operator="containsText" text="Il existe une différence entre le listing et l'indexation. Veuillez actualiser les informations">
      <formula>NOT(ISERROR(SEARCH("Il existe une différence entre le listing et l'indexation. Veuillez actualiser les informations",F14)))</formula>
    </cfRule>
  </conditionalFormatting>
  <hyperlinks>
    <hyperlink ref="A10" location="home!A10" display="HOME"/>
    <hyperlink ref="B10" location="documents!A1" display="DOCUMENTS"/>
    <hyperlink ref="E10" location="settings!A1" display="SETTINGS"/>
    <hyperlink ref="F10" location="listing!A1" display="LISTING"/>
    <hyperlink ref="C10" location="infos!A1" display="infos"/>
    <hyperlink ref="D10" location="graphics!A1" display="graphics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O14"/>
  <sheetViews>
    <sheetView tabSelected="1" topLeftCell="C1" workbookViewId="0">
      <selection activeCell="K14" sqref="K14"/>
    </sheetView>
  </sheetViews>
  <sheetFormatPr baseColWidth="10" defaultRowHeight="15" x14ac:dyDescent="0.25"/>
  <cols>
    <col min="1" max="1" width="9.85546875" style="1" bestFit="1" customWidth="1"/>
    <col min="2" max="2" width="37.85546875" style="1" bestFit="1" customWidth="1"/>
    <col min="3" max="3" width="23.7109375" style="1" bestFit="1" customWidth="1"/>
    <col min="4" max="4" width="19.140625" style="1" bestFit="1" customWidth="1"/>
    <col min="5" max="5" width="20" style="1" bestFit="1" customWidth="1"/>
    <col min="6" max="6" width="24.140625" style="1" bestFit="1" customWidth="1"/>
    <col min="7" max="7" width="24.140625" style="1" customWidth="1"/>
    <col min="8" max="8" width="11.42578125" style="1" bestFit="1" customWidth="1"/>
    <col min="9" max="9" width="14.7109375" style="1" bestFit="1" customWidth="1"/>
    <col min="10" max="10" width="12.28515625" style="1" bestFit="1" customWidth="1"/>
    <col min="11" max="11" width="10.7109375" style="1" bestFit="1" customWidth="1"/>
    <col min="12" max="12" width="13.85546875" style="1" bestFit="1" customWidth="1"/>
    <col min="13" max="13" width="57.5703125" style="1" bestFit="1" customWidth="1"/>
    <col min="14" max="14" width="18.28515625" style="1" bestFit="1" customWidth="1"/>
    <col min="15" max="15" width="27.5703125" style="1" bestFit="1" customWidth="1"/>
  </cols>
  <sheetData>
    <row r="1" spans="1:15" s="1" customFormat="1" ht="15.75" thickBot="1" x14ac:dyDescent="0.3">
      <c r="A1" s="4" t="s">
        <v>1</v>
      </c>
      <c r="B1" s="5" t="s">
        <v>3</v>
      </c>
      <c r="C1" s="5" t="s">
        <v>2</v>
      </c>
      <c r="D1" s="5" t="s">
        <v>0</v>
      </c>
      <c r="E1" s="5" t="s">
        <v>5</v>
      </c>
      <c r="F1" s="5" t="s">
        <v>6</v>
      </c>
      <c r="G1" s="5" t="s">
        <v>34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27</v>
      </c>
      <c r="N1" s="5" t="s">
        <v>4</v>
      </c>
      <c r="O1" s="4" t="s">
        <v>79</v>
      </c>
    </row>
    <row r="2" spans="1:15" ht="31.5" thickTop="1" thickBot="1" x14ac:dyDescent="0.3">
      <c r="A2" s="6" t="str">
        <f>IF(NOT(ISBLANK(B2)),CONCATENATE(settings!$A$2,settings!B2),"")</f>
        <v>DOC_1001</v>
      </c>
      <c r="B2" s="7" t="s">
        <v>32</v>
      </c>
      <c r="C2" s="8" t="s">
        <v>40</v>
      </c>
      <c r="D2" s="7" t="str">
        <f t="shared" ref="D2:D8" si="0">RIGHT(B2,LEN(B2)-SEARCH(".",B2,1))</f>
        <v>pdf</v>
      </c>
      <c r="E2" s="11">
        <f>VLOOKUP(B2,listing!$A$2:$E$700, 3, FALSE)</f>
        <v>42753.297951388886</v>
      </c>
      <c r="F2" s="11">
        <f>VLOOKUP(B2,listing!$A$2:$E$700, 4, FALSE)</f>
        <v>42752.331157407411</v>
      </c>
      <c r="G2" s="11">
        <f>VLOOKUP(B2,listing!$A$2:$E$700, 5, FALSE)</f>
        <v>42753.297951388886</v>
      </c>
      <c r="H2" s="7" t="s">
        <v>21</v>
      </c>
      <c r="I2" s="7" t="s">
        <v>58</v>
      </c>
      <c r="J2" s="7" t="s">
        <v>59</v>
      </c>
      <c r="K2" s="7" t="s">
        <v>15</v>
      </c>
      <c r="L2" s="9">
        <f>VLOOKUP(B2,listing!$A$2:$E$700,2, FALSE)</f>
        <v>49137</v>
      </c>
      <c r="M2" s="9" t="str">
        <f>CONCATENATE(listing!$H$2,"stockage\")</f>
        <v>C:\wamp64\www\sites\p2\DISII-Projet2\ressources\stockage\</v>
      </c>
      <c r="N2" s="10" t="str">
        <f>IF(AND(B2&lt;&gt;"",M2&lt;&gt;""),HYPERLINK(CONCATENATE(M2,"\stockage\",B2),settings!$C$2),"")</f>
        <v>Ouvrir le document</v>
      </c>
      <c r="O2" s="24"/>
    </row>
    <row r="3" spans="1:15" ht="31.5" thickTop="1" thickBot="1" x14ac:dyDescent="0.3">
      <c r="A3" s="6" t="str">
        <f>IF(NOT(ISBLANK(B3)),CONCATENATE(settings!$A$2,settings!B3),"")</f>
        <v>DOC_1002</v>
      </c>
      <c r="B3" s="7" t="s">
        <v>28</v>
      </c>
      <c r="C3" s="8" t="s">
        <v>41</v>
      </c>
      <c r="D3" s="7" t="str">
        <f t="shared" si="0"/>
        <v>xlsx</v>
      </c>
      <c r="E3" s="11">
        <f>VLOOKUP(B3,listing!$A$2:$E$700, 3, FALSE)</f>
        <v>42753.297951388886</v>
      </c>
      <c r="F3" s="11">
        <f>VLOOKUP(B3,listing!$A$2:$E$700, 4, FALSE)</f>
        <v>42752.331157407411</v>
      </c>
      <c r="G3" s="11">
        <f>VLOOKUP(B3,listing!$A$2:$E$700, 5, FALSE)</f>
        <v>42753.297951388886</v>
      </c>
      <c r="H3" s="7" t="s">
        <v>20</v>
      </c>
      <c r="I3" s="7" t="s">
        <v>60</v>
      </c>
      <c r="J3" s="7" t="s">
        <v>61</v>
      </c>
      <c r="K3" s="7" t="s">
        <v>16</v>
      </c>
      <c r="L3" s="9">
        <f>VLOOKUP(B3,listing!$A$2:$E$700,2, FALSE)</f>
        <v>8339</v>
      </c>
      <c r="M3" s="9" t="str">
        <f>CONCATENATE(listing!$H$2,"stockage\")</f>
        <v>C:\wamp64\www\sites\p2\DISII-Projet2\ressources\stockage\</v>
      </c>
      <c r="N3" s="12" t="str">
        <f>IF(AND(B3&lt;&gt;"",M3&lt;&gt;""),HYPERLINK(CONCATENATE(M3,"\stockage\",B3),settings!$C$2),"")</f>
        <v>Ouvrir le document</v>
      </c>
      <c r="O3" s="25"/>
    </row>
    <row r="4" spans="1:15" ht="46.5" thickTop="1" thickBot="1" x14ac:dyDescent="0.3">
      <c r="A4" s="6" t="str">
        <f>IF(NOT(ISBLANK(B4)),CONCATENATE(settings!$A$2,settings!B4),"")</f>
        <v>DOC_1003</v>
      </c>
      <c r="B4" s="7" t="s">
        <v>49</v>
      </c>
      <c r="C4" s="8" t="s">
        <v>67</v>
      </c>
      <c r="D4" s="7" t="str">
        <f t="shared" si="0"/>
        <v>docx</v>
      </c>
      <c r="E4" s="11">
        <f>VLOOKUP(B4,listing!$A$2:$E$700, 3, FALSE)</f>
        <v>42753.297951388886</v>
      </c>
      <c r="F4" s="11">
        <f>VLOOKUP(B4,listing!$A$2:$E$700, 4, FALSE)</f>
        <v>42752.331157407411</v>
      </c>
      <c r="G4" s="11">
        <f>VLOOKUP(B4,listing!$A$2:$E$700, 5, FALSE)</f>
        <v>42753.297951388886</v>
      </c>
      <c r="H4" s="7" t="s">
        <v>24</v>
      </c>
      <c r="I4" s="7" t="s">
        <v>58</v>
      </c>
      <c r="J4" s="7" t="s">
        <v>59</v>
      </c>
      <c r="K4" s="7" t="s">
        <v>18</v>
      </c>
      <c r="L4" s="9">
        <f>VLOOKUP(B4,listing!$A$2:$E$700,2, FALSE)</f>
        <v>708436</v>
      </c>
      <c r="M4" s="9" t="str">
        <f>CONCATENATE(listing!$H$2,"stockage\")</f>
        <v>C:\wamp64\www\sites\p2\DISII-Projet2\ressources\stockage\</v>
      </c>
      <c r="N4" s="14" t="str">
        <f>IF(AND(B4&lt;&gt;"",M4&lt;&gt;""),HYPERLINK(CONCATENATE(M4,"\stockage\",B4),settings!$C$2),"")</f>
        <v>Ouvrir le document</v>
      </c>
      <c r="O4" s="14"/>
    </row>
    <row r="5" spans="1:15" ht="16.5" thickTop="1" thickBot="1" x14ac:dyDescent="0.3">
      <c r="A5" s="6" t="str">
        <f>IF(NOT(ISBLANK(B5)),CONCATENATE(settings!$A$2,settings!B5),"")</f>
        <v>DOC_1004</v>
      </c>
      <c r="B5" s="7" t="s">
        <v>72</v>
      </c>
      <c r="C5" s="8" t="s">
        <v>73</v>
      </c>
      <c r="D5" s="7" t="str">
        <f t="shared" si="0"/>
        <v>docx</v>
      </c>
      <c r="E5" s="11">
        <f>VLOOKUP(B5,listing!$A$2:$E$700, 3, FALSE)</f>
        <v>42753.297951388886</v>
      </c>
      <c r="F5" s="11">
        <f>VLOOKUP(B5,listing!$A$2:$E$700, 4, FALSE)</f>
        <v>42752.331157407411</v>
      </c>
      <c r="G5" s="11">
        <f>VLOOKUP(B5,listing!$A$2:$E$700, 5, FALSE)</f>
        <v>42753.297951388886</v>
      </c>
      <c r="H5" s="7" t="s">
        <v>24</v>
      </c>
      <c r="I5" s="7" t="s">
        <v>58</v>
      </c>
      <c r="J5" s="7" t="s">
        <v>59</v>
      </c>
      <c r="K5" s="7" t="s">
        <v>16</v>
      </c>
      <c r="L5" s="9">
        <f>VLOOKUP(B5,listing!$A$2:$E$700,2, FALSE)</f>
        <v>30815</v>
      </c>
      <c r="M5" s="9" t="str">
        <f>CONCATENATE(listing!$H$2,"stockage\")</f>
        <v>C:\wamp64\www\sites\p2\DISII-Projet2\ressources\stockage\</v>
      </c>
      <c r="N5" s="14" t="str">
        <f>IF(AND(B5&lt;&gt;"",M5&lt;&gt;""),HYPERLINK(CONCATENATE(M5,"\stockage\",B5),settings!$C$2),"")</f>
        <v>Ouvrir le document</v>
      </c>
      <c r="O5" s="14"/>
    </row>
    <row r="6" spans="1:15" ht="31.5" thickTop="1" thickBot="1" x14ac:dyDescent="0.3">
      <c r="A6" s="6" t="str">
        <f>IF(NOT(ISBLANK(B6)),CONCATENATE(settings!$A$2,settings!B6),"")</f>
        <v>DOC_1005</v>
      </c>
      <c r="B6" s="7" t="s">
        <v>77</v>
      </c>
      <c r="C6" s="8" t="s">
        <v>81</v>
      </c>
      <c r="D6" s="7" t="str">
        <f t="shared" si="0"/>
        <v>zip</v>
      </c>
      <c r="E6" s="11">
        <f>VLOOKUP(B6,listing!$A$2:$E$700, 3, FALSE)</f>
        <v>42753.297951388886</v>
      </c>
      <c r="F6" s="11">
        <f>VLOOKUP(B6,listing!$A$2:$E$700, 4, FALSE)</f>
        <v>42752.331157407411</v>
      </c>
      <c r="G6" s="11">
        <f>VLOOKUP(B6,listing!$A$2:$E$700, 5, FALSE)</f>
        <v>42753.297951388886</v>
      </c>
      <c r="H6" s="7" t="s">
        <v>78</v>
      </c>
      <c r="I6" s="7"/>
      <c r="J6" s="7"/>
      <c r="K6" s="7" t="s">
        <v>16</v>
      </c>
      <c r="L6" s="9">
        <f>VLOOKUP(B6,listing!$A$2:$E$700,2, FALSE)</f>
        <v>7509802</v>
      </c>
      <c r="M6" s="9" t="str">
        <f>CONCATENATE(listing!$H$2,"stockage\")</f>
        <v>C:\wamp64\www\sites\p2\DISII-Projet2\ressources\stockage\</v>
      </c>
      <c r="N6" s="14" t="str">
        <f>IF(AND(B6&lt;&gt;"",M6&lt;&gt;""),HYPERLINK(CONCATENATE(M6,"\stockage\",B6),settings!$C$2),"")</f>
        <v>Ouvrir le document</v>
      </c>
      <c r="O6" s="14" t="s">
        <v>80</v>
      </c>
    </row>
    <row r="7" spans="1:15" ht="31.5" thickTop="1" thickBot="1" x14ac:dyDescent="0.3">
      <c r="A7" s="6" t="str">
        <f>IF(NOT(ISBLANK(B7)),CONCATENATE(settings!$A$2,settings!B7),"")</f>
        <v>DOC_1006</v>
      </c>
      <c r="B7" s="7" t="s">
        <v>82</v>
      </c>
      <c r="C7" s="8" t="s">
        <v>83</v>
      </c>
      <c r="D7" s="7" t="str">
        <f t="shared" si="0"/>
        <v>docx</v>
      </c>
      <c r="E7" s="11">
        <f>VLOOKUP(B7,listing!$A$2:$E$700, 3, FALSE)</f>
        <v>42753.297951388886</v>
      </c>
      <c r="F7" s="11">
        <f>VLOOKUP(B7,listing!$A$2:$E$700, 4, FALSE)</f>
        <v>42752.331157407411</v>
      </c>
      <c r="G7" s="11">
        <f>VLOOKUP(B7,listing!$A$2:$E$700, 5, FALSE)</f>
        <v>42753.297951388886</v>
      </c>
      <c r="H7" s="7" t="s">
        <v>24</v>
      </c>
      <c r="I7" s="7" t="s">
        <v>58</v>
      </c>
      <c r="J7" s="7" t="s">
        <v>59</v>
      </c>
      <c r="K7" s="7" t="s">
        <v>16</v>
      </c>
      <c r="L7" s="9">
        <f>VLOOKUP(B7,listing!$A$2:$E$700,2, FALSE)</f>
        <v>69526</v>
      </c>
      <c r="M7" s="9" t="str">
        <f>CONCATENATE(listing!$H$2,"stockage\")</f>
        <v>C:\wamp64\www\sites\p2\DISII-Projet2\ressources\stockage\</v>
      </c>
      <c r="N7" s="14" t="str">
        <f>IF(AND(B7&lt;&gt;"",M7&lt;&gt;""),HYPERLINK(CONCATENATE(M7,"\stockage\",B7),settings!$C$2),"")</f>
        <v>Ouvrir le document</v>
      </c>
      <c r="O7" s="14"/>
    </row>
    <row r="8" spans="1:15" ht="31.5" thickTop="1" thickBot="1" x14ac:dyDescent="0.3">
      <c r="A8" s="6" t="str">
        <f>IF(NOT(ISBLANK(B8)),CONCATENATE(settings!$A$2,settings!B8),"")</f>
        <v>DOC_1007</v>
      </c>
      <c r="B8" s="7" t="s">
        <v>76</v>
      </c>
      <c r="C8" s="8" t="s">
        <v>84</v>
      </c>
      <c r="D8" s="7" t="str">
        <f t="shared" si="0"/>
        <v>xlsx</v>
      </c>
      <c r="E8" s="11">
        <f>VLOOKUP(B8,listing!$A$2:$E$700, 3, FALSE)</f>
        <v>42753.297951388886</v>
      </c>
      <c r="F8" s="11">
        <f>VLOOKUP(B8,listing!$A$2:$E$700, 4, FALSE)</f>
        <v>42752.331157407411</v>
      </c>
      <c r="G8" s="11">
        <f>VLOOKUP(B8,listing!$A$2:$E$700, 5, FALSE)</f>
        <v>42753.297951388886</v>
      </c>
      <c r="H8" s="7" t="s">
        <v>24</v>
      </c>
      <c r="I8" s="7" t="s">
        <v>58</v>
      </c>
      <c r="J8" s="7"/>
      <c r="K8" s="7" t="s">
        <v>16</v>
      </c>
      <c r="L8" s="9">
        <f>VLOOKUP(B8,listing!$A$2:$E$700,2, FALSE)</f>
        <v>191692</v>
      </c>
      <c r="M8" s="9" t="str">
        <f>CONCATENATE(listing!$H$2,"stockage\")</f>
        <v>C:\wamp64\www\sites\p2\DISII-Projet2\ressources\stockage\</v>
      </c>
      <c r="N8" s="14" t="str">
        <f>IF(AND(B8&lt;&gt;"",M8&lt;&gt;""),HYPERLINK(CONCATENATE(M8,"\stockage\",B8),settings!$C$2),"")</f>
        <v>Ouvrir le document</v>
      </c>
      <c r="O8" s="14"/>
    </row>
    <row r="9" spans="1:15" ht="16.5" thickTop="1" thickBot="1" x14ac:dyDescent="0.3">
      <c r="A9" s="6" t="str">
        <f>IF(NOT(ISBLANK(B9)),CONCATENATE(settings!$A$2,settings!B9),"")</f>
        <v>DOC_1008</v>
      </c>
      <c r="B9" s="7" t="s">
        <v>89</v>
      </c>
      <c r="C9" s="8"/>
      <c r="D9" s="7" t="str">
        <f>RIGHT(B9,LEN(B9)-SEARCH(".",B9,1))</f>
        <v>xlsx</v>
      </c>
      <c r="E9" s="11">
        <f>VLOOKUP(B9,listing!$A$2:$E$700, 3, FALSE)</f>
        <v>42753.297951388886</v>
      </c>
      <c r="F9" s="11">
        <f>VLOOKUP(B9,listing!$A$2:$E$700, 4, FALSE)</f>
        <v>42752.331157407411</v>
      </c>
      <c r="G9" s="11">
        <f>VLOOKUP(B9,listing!$A$2:$E$700, 5, FALSE)</f>
        <v>42753.297951388886</v>
      </c>
      <c r="H9" s="7" t="s">
        <v>21</v>
      </c>
      <c r="I9" s="7" t="s">
        <v>58</v>
      </c>
      <c r="J9" s="7"/>
      <c r="K9" s="7" t="s">
        <v>16</v>
      </c>
      <c r="L9" s="9">
        <f>VLOOKUP(B9,listing!$A$2:$E$700,2, FALSE)</f>
        <v>22014</v>
      </c>
      <c r="M9" s="9" t="str">
        <f>CONCATENATE(listing!$H$2,"stockage\")</f>
        <v>C:\wamp64\www\sites\p2\DISII-Projet2\ressources\stockage\</v>
      </c>
      <c r="N9" s="14" t="str">
        <f>IF(AND(B9&lt;&gt;"",M9&lt;&gt;""),HYPERLINK(CONCATENATE(M9,"\stockage\",B9),settings!$C$2),"")</f>
        <v>Ouvrir le document</v>
      </c>
      <c r="O9" s="14"/>
    </row>
    <row r="10" spans="1:15" ht="16.5" thickTop="1" thickBot="1" x14ac:dyDescent="0.3">
      <c r="A10" s="6" t="str">
        <f>IF(NOT(ISBLANK(B10)),CONCATENATE(settings!$A$2,settings!B10),"")</f>
        <v>DOC_1009</v>
      </c>
      <c r="B10" s="7" t="s">
        <v>94</v>
      </c>
      <c r="C10" s="8"/>
      <c r="D10" s="7" t="str">
        <f>RIGHT(B10,LEN(B10)-SEARCH(".",B10,1))</f>
        <v>docx</v>
      </c>
      <c r="E10" s="11">
        <f>VLOOKUP(B10,listing!$A$2:$E$700, 3, FALSE)</f>
        <v>42753.297951388886</v>
      </c>
      <c r="F10" s="11">
        <f>VLOOKUP(B10,listing!$A$2:$E$700, 4, FALSE)</f>
        <v>42752.331157407411</v>
      </c>
      <c r="G10" s="11">
        <f>VLOOKUP(B10,listing!$A$2:$E$700, 5, FALSE)</f>
        <v>42753.297951388886</v>
      </c>
      <c r="H10" s="7" t="s">
        <v>24</v>
      </c>
      <c r="I10" s="7" t="s">
        <v>58</v>
      </c>
      <c r="J10" s="7"/>
      <c r="K10" s="7" t="s">
        <v>16</v>
      </c>
      <c r="L10" s="9">
        <f>VLOOKUP(B10,listing!$A$2:$E$700,2, FALSE)</f>
        <v>34629</v>
      </c>
      <c r="M10" s="9" t="str">
        <f>CONCATENATE(listing!$H$2,"stockage\")</f>
        <v>C:\wamp64\www\sites\p2\DISII-Projet2\ressources\stockage\</v>
      </c>
      <c r="N10" s="14" t="str">
        <f>IF(AND(B10&lt;&gt;"",M10&lt;&gt;""),HYPERLINK(CONCATENATE(M10,"\stockage\",B10),settings!$C$2),"")</f>
        <v>Ouvrir le document</v>
      </c>
      <c r="O10" s="14"/>
    </row>
    <row r="11" spans="1:15" ht="16.5" thickTop="1" thickBot="1" x14ac:dyDescent="0.3">
      <c r="A11" s="6" t="str">
        <f>IF(NOT(ISBLANK(B11)),CONCATENATE(settings!$A$2,settings!B11),"")</f>
        <v>DOC_1010</v>
      </c>
      <c r="B11" s="7" t="s">
        <v>91</v>
      </c>
      <c r="C11" s="8" t="s">
        <v>96</v>
      </c>
      <c r="D11" s="7" t="e">
        <f>RIGHT(B11,LEN(B11)-SEARCH(".",B11,1))</f>
        <v>#VALUE!</v>
      </c>
      <c r="E11" s="11">
        <f>VLOOKUP(B11,listing!$A$2:$E$700, 3, FALSE)</f>
        <v>42753.297951388886</v>
      </c>
      <c r="F11" s="11">
        <f>VLOOKUP(B11,listing!$A$2:$E$700, 4, FALSE)</f>
        <v>42752.331157407411</v>
      </c>
      <c r="G11" s="11">
        <f>VLOOKUP(B11,listing!$A$2:$E$700, 5, FALSE)</f>
        <v>42753.297951388886</v>
      </c>
      <c r="H11" s="7" t="s">
        <v>20</v>
      </c>
      <c r="I11" s="7" t="s">
        <v>58</v>
      </c>
      <c r="J11" s="7"/>
      <c r="K11" s="7" t="s">
        <v>16</v>
      </c>
      <c r="L11" s="9">
        <f>VLOOKUP(B11,listing!$A$2:$E$700,2, FALSE)</f>
        <v>7466</v>
      </c>
      <c r="M11" s="9" t="str">
        <f>CONCATENATE(listing!$H$2,"stockage\")</f>
        <v>C:\wamp64\www\sites\p2\DISII-Projet2\ressources\stockage\</v>
      </c>
      <c r="N11" s="14" t="str">
        <f>IF(AND(B11&lt;&gt;"",M11&lt;&gt;""),HYPERLINK(CONCATENATE(M11,"\stockage\",B11),settings!$C$2),"")</f>
        <v>Ouvrir le document</v>
      </c>
      <c r="O11" s="14"/>
    </row>
    <row r="12" spans="1:15" ht="16.5" thickTop="1" thickBot="1" x14ac:dyDescent="0.3">
      <c r="A12" s="6" t="str">
        <f>IF(NOT(ISBLANK(B12)),CONCATENATE(settings!$A$2,settings!B12),"")</f>
        <v>DOC_1011</v>
      </c>
      <c r="B12" s="7" t="s">
        <v>95</v>
      </c>
      <c r="C12" s="8" t="s">
        <v>97</v>
      </c>
      <c r="D12" s="7" t="str">
        <f>RIGHT(B12,LEN(B12)-SEARCH(".",B12,1))</f>
        <v>psd</v>
      </c>
      <c r="E12" s="11">
        <f>VLOOKUP(B12,listing!$A$2:$E$700, 3, FALSE)</f>
        <v>42753.297951388886</v>
      </c>
      <c r="F12" s="11">
        <f>VLOOKUP(B12,listing!$A$2:$E$700, 4, FALSE)</f>
        <v>42752.331157407411</v>
      </c>
      <c r="G12" s="11">
        <f>VLOOKUP(B12,listing!$A$2:$E$700, 5, FALSE)</f>
        <v>42753.297951388886</v>
      </c>
      <c r="H12" s="29" t="s">
        <v>24</v>
      </c>
      <c r="I12" s="7" t="s">
        <v>58</v>
      </c>
      <c r="J12" s="7"/>
      <c r="K12" s="7" t="s">
        <v>16</v>
      </c>
      <c r="L12" s="9">
        <f>VLOOKUP(B12,listing!$A$2:$E$700,2, FALSE)</f>
        <v>1523760</v>
      </c>
      <c r="M12" s="9" t="str">
        <f>CONCATENATE(listing!$H$2,"stockage\")</f>
        <v>C:\wamp64\www\sites\p2\DISII-Projet2\ressources\stockage\</v>
      </c>
      <c r="N12" s="14" t="str">
        <f>IF(AND(B12&lt;&gt;"",M12&lt;&gt;""),HYPERLINK(CONCATENATE(M12,"\stockage\",B12),settings!$C$2),"")</f>
        <v>Ouvrir le document</v>
      </c>
      <c r="O12" s="14"/>
    </row>
    <row r="13" spans="1:15" ht="31.5" thickTop="1" thickBot="1" x14ac:dyDescent="0.3">
      <c r="A13" s="6" t="str">
        <f>IF(NOT(ISBLANK(B13)),CONCATENATE(settings!$A$2,settings!B13),"")</f>
        <v>DOC_1012</v>
      </c>
      <c r="B13" s="7" t="s">
        <v>93</v>
      </c>
      <c r="C13" s="8" t="s">
        <v>104</v>
      </c>
      <c r="D13" s="7" t="str">
        <f>RIGHT(B13,LEN(B13)-SEARCH(".",B13,1))</f>
        <v>xlsx</v>
      </c>
      <c r="E13" s="11">
        <f>VLOOKUP(B13,listing!$A$2:$E$700, 3, FALSE)</f>
        <v>42753.297951388886</v>
      </c>
      <c r="F13" s="11">
        <f>VLOOKUP(B13,listing!$A$2:$E$700, 4, FALSE)</f>
        <v>42752.331157407411</v>
      </c>
      <c r="G13" s="11">
        <f>VLOOKUP(B13,listing!$A$2:$E$700, 5, FALSE)</f>
        <v>42753.297951388886</v>
      </c>
      <c r="H13" s="7" t="s">
        <v>20</v>
      </c>
      <c r="I13" s="7" t="s">
        <v>58</v>
      </c>
      <c r="J13" s="7"/>
      <c r="K13" s="7" t="s">
        <v>16</v>
      </c>
      <c r="L13" s="9">
        <f>VLOOKUP(B13,listing!$A$2:$E$700,2, FALSE)</f>
        <v>17459</v>
      </c>
      <c r="M13" s="9" t="str">
        <f>CONCATENATE(listing!$H$2,"stockage\")</f>
        <v>C:\wamp64\www\sites\p2\DISII-Projet2\ressources\stockage\</v>
      </c>
      <c r="N13" s="14" t="str">
        <f>IF(AND(B13&lt;&gt;"",M13&lt;&gt;""),HYPERLINK(CONCATENATE(M13,"\stockage\",B13),settings!$C$2),"")</f>
        <v>Ouvrir le document</v>
      </c>
      <c r="O13" s="14"/>
    </row>
    <row r="14" spans="1:15" ht="30.75" thickTop="1" x14ac:dyDescent="0.25">
      <c r="A14" s="6" t="str">
        <f>IF(NOT(ISBLANK(B14)),CONCATENATE(settings!$A$2,settings!B14),"")</f>
        <v>DOC_1013</v>
      </c>
      <c r="B14" s="7" t="s">
        <v>92</v>
      </c>
      <c r="C14" s="8" t="s">
        <v>105</v>
      </c>
      <c r="D14" s="7" t="str">
        <f>RIGHT(B14,LEN(B14)-SEARCH(".",B14,1))</f>
        <v>xlsx</v>
      </c>
      <c r="E14" s="11">
        <f>VLOOKUP(B14,listing!$A$2:$E$700, 3, FALSE)</f>
        <v>42753.297951388886</v>
      </c>
      <c r="F14" s="11">
        <f>VLOOKUP(B14,listing!$A$2:$E$700, 4, FALSE)</f>
        <v>42752.331157407411</v>
      </c>
      <c r="G14" s="11">
        <f>VLOOKUP(B14,listing!$A$2:$E$700, 5, FALSE)</f>
        <v>42753.297951388886</v>
      </c>
      <c r="H14" s="7" t="s">
        <v>21</v>
      </c>
      <c r="I14" s="7" t="s">
        <v>58</v>
      </c>
      <c r="J14" s="7"/>
      <c r="K14" s="7" t="s">
        <v>16</v>
      </c>
      <c r="L14" s="9">
        <f>VLOOKUP(B14,listing!$A$2:$E$700,2, FALSE)</f>
        <v>33058</v>
      </c>
      <c r="M14" s="9" t="str">
        <f>CONCATENATE(listing!$H$2,"stockage\")</f>
        <v>C:\wamp64\www\sites\p2\DISII-Projet2\ressources\stockage\</v>
      </c>
      <c r="N14" s="14" t="str">
        <f>IF(AND(B14&lt;&gt;"",M14&lt;&gt;""),HYPERLINK(CONCATENATE(M14,"\stockage\",B14),settings!$C$2),"")</f>
        <v>Ouvrir le document</v>
      </c>
      <c r="O14" s="14"/>
    </row>
  </sheetData>
  <conditionalFormatting sqref="N2:O14">
    <cfRule type="containsText" dxfId="36" priority="1" operator="containsText" text="Ouvrir le document">
      <formula>NOT(ISERROR(SEARCH("Ouvrir le document",N2)))</formula>
    </cfRule>
  </conditionalFormatting>
  <dataValidations count="7">
    <dataValidation type="list" allowBlank="1" showInputMessage="1" showErrorMessage="1" sqref="D2:D14">
      <formula1>type</formula1>
    </dataValidation>
    <dataValidation type="list" allowBlank="1" showInputMessage="1" showErrorMessage="1" sqref="K2:K14">
      <formula1>statut</formula1>
    </dataValidation>
    <dataValidation type="list" allowBlank="1" showInputMessage="1" showErrorMessage="1" sqref="H2:H14">
      <formula1>auteur</formula1>
    </dataValidation>
    <dataValidation type="list" allowBlank="1" showInputMessage="1" showErrorMessage="1" sqref="J2:J14">
      <formula1>themes</formula1>
    </dataValidation>
    <dataValidation type="list" allowBlank="1" showInputMessage="1" showErrorMessage="1" sqref="I2:I14">
      <formula1>categories</formula1>
    </dataValidation>
    <dataValidation type="date" allowBlank="1" showInputMessage="1" showErrorMessage="1" sqref="E2:F14 G3">
      <formula1>42736</formula1>
      <formula2>43100</formula2>
    </dataValidation>
    <dataValidation type="list" allowBlank="1" showInputMessage="1" showErrorMessage="1" sqref="B2:B498">
      <formula1>listingvba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34"/>
  <sheetViews>
    <sheetView workbookViewId="0">
      <selection activeCell="A33" sqref="A33"/>
    </sheetView>
  </sheetViews>
  <sheetFormatPr baseColWidth="10" defaultRowHeight="15" x14ac:dyDescent="0.25"/>
  <cols>
    <col min="1" max="1" width="21" customWidth="1"/>
    <col min="2" max="2" width="23" customWidth="1"/>
    <col min="3" max="3" width="21.28515625" bestFit="1" customWidth="1"/>
    <col min="4" max="4" width="12" customWidth="1"/>
    <col min="5" max="5" width="13.140625" customWidth="1"/>
    <col min="6" max="7" width="21" customWidth="1"/>
    <col min="8" max="8" width="13.140625" customWidth="1"/>
    <col min="9" max="9" width="13.140625" bestFit="1" customWidth="1"/>
    <col min="16" max="16" width="21" bestFit="1" customWidth="1"/>
    <col min="17" max="17" width="13.140625" bestFit="1" customWidth="1"/>
  </cols>
  <sheetData>
    <row r="3" spans="1:8" x14ac:dyDescent="0.25">
      <c r="A3" s="18" t="s">
        <v>53</v>
      </c>
      <c r="B3" t="s">
        <v>57</v>
      </c>
      <c r="D3" s="18" t="s">
        <v>53</v>
      </c>
      <c r="E3" t="s">
        <v>57</v>
      </c>
      <c r="G3" s="18" t="s">
        <v>53</v>
      </c>
      <c r="H3" t="s">
        <v>57</v>
      </c>
    </row>
    <row r="4" spans="1:8" x14ac:dyDescent="0.25">
      <c r="A4" s="19" t="s">
        <v>54</v>
      </c>
      <c r="B4" s="20">
        <v>1</v>
      </c>
      <c r="D4" s="19" t="s">
        <v>58</v>
      </c>
      <c r="E4" s="20">
        <v>11</v>
      </c>
      <c r="G4" s="19" t="s">
        <v>59</v>
      </c>
      <c r="H4" s="20">
        <v>4</v>
      </c>
    </row>
    <row r="5" spans="1:8" x14ac:dyDescent="0.25">
      <c r="A5" s="19" t="s">
        <v>55</v>
      </c>
      <c r="B5" s="20">
        <v>5</v>
      </c>
      <c r="D5" s="19" t="s">
        <v>60</v>
      </c>
      <c r="E5" s="20">
        <v>1</v>
      </c>
      <c r="G5" s="19" t="s">
        <v>61</v>
      </c>
      <c r="H5" s="20">
        <v>1</v>
      </c>
    </row>
    <row r="6" spans="1:8" x14ac:dyDescent="0.25">
      <c r="A6" s="19" t="s">
        <v>69</v>
      </c>
      <c r="B6" s="20">
        <v>4</v>
      </c>
      <c r="D6" s="19" t="s">
        <v>56</v>
      </c>
      <c r="E6" s="20">
        <v>12</v>
      </c>
      <c r="G6" s="19" t="s">
        <v>56</v>
      </c>
      <c r="H6" s="20">
        <v>5</v>
      </c>
    </row>
    <row r="7" spans="1:8" x14ac:dyDescent="0.25">
      <c r="A7" s="19" t="s">
        <v>85</v>
      </c>
      <c r="B7" s="20">
        <v>1</v>
      </c>
    </row>
    <row r="8" spans="1:8" x14ac:dyDescent="0.25">
      <c r="A8" s="19" t="s">
        <v>98</v>
      </c>
      <c r="B8" s="20">
        <v>1</v>
      </c>
    </row>
    <row r="9" spans="1:8" x14ac:dyDescent="0.25">
      <c r="A9" s="19" t="s">
        <v>99</v>
      </c>
      <c r="B9" s="20">
        <v>1</v>
      </c>
    </row>
    <row r="10" spans="1:8" x14ac:dyDescent="0.25">
      <c r="A10" s="19" t="s">
        <v>56</v>
      </c>
      <c r="B10" s="20">
        <v>13</v>
      </c>
    </row>
    <row r="20" spans="1:7" x14ac:dyDescent="0.25">
      <c r="A20" s="18" t="s">
        <v>53</v>
      </c>
      <c r="B20" t="s">
        <v>103</v>
      </c>
      <c r="C20" t="s">
        <v>71</v>
      </c>
      <c r="D20" t="s">
        <v>75</v>
      </c>
      <c r="F20" s="18" t="s">
        <v>53</v>
      </c>
      <c r="G20" t="s">
        <v>70</v>
      </c>
    </row>
    <row r="21" spans="1:7" x14ac:dyDescent="0.25">
      <c r="A21" s="19" t="s">
        <v>62</v>
      </c>
      <c r="B21" s="20">
        <v>49137</v>
      </c>
      <c r="C21" s="21">
        <v>4.8144581302242487E-3</v>
      </c>
      <c r="D21" s="23">
        <v>4.9137E-2</v>
      </c>
      <c r="F21" s="19" t="s">
        <v>24</v>
      </c>
      <c r="G21" s="20">
        <v>6</v>
      </c>
    </row>
    <row r="22" spans="1:7" x14ac:dyDescent="0.25">
      <c r="A22" s="19" t="s">
        <v>63</v>
      </c>
      <c r="B22" s="20">
        <v>8339</v>
      </c>
      <c r="C22" s="21">
        <v>8.170577436135704E-4</v>
      </c>
      <c r="D22" s="23">
        <v>8.3389999999999992E-3</v>
      </c>
      <c r="F22" s="19" t="s">
        <v>21</v>
      </c>
      <c r="G22" s="20">
        <v>3</v>
      </c>
    </row>
    <row r="23" spans="1:7" x14ac:dyDescent="0.25">
      <c r="A23" s="19" t="s">
        <v>68</v>
      </c>
      <c r="B23" s="20">
        <v>708436</v>
      </c>
      <c r="C23" s="21">
        <v>6.9412773672457531E-2</v>
      </c>
      <c r="D23" s="23">
        <v>0.70843599999999995</v>
      </c>
      <c r="F23" s="19" t="s">
        <v>20</v>
      </c>
      <c r="G23" s="20">
        <v>3</v>
      </c>
    </row>
    <row r="24" spans="1:7" x14ac:dyDescent="0.25">
      <c r="A24" s="19" t="s">
        <v>74</v>
      </c>
      <c r="B24" s="20">
        <v>30815</v>
      </c>
      <c r="C24" s="21">
        <v>3.0192630254769364E-3</v>
      </c>
      <c r="D24" s="23">
        <v>3.0814999999999999E-2</v>
      </c>
      <c r="F24" s="19" t="s">
        <v>78</v>
      </c>
      <c r="G24" s="20">
        <v>1</v>
      </c>
    </row>
    <row r="25" spans="1:7" x14ac:dyDescent="0.25">
      <c r="A25" s="19" t="s">
        <v>86</v>
      </c>
      <c r="B25" s="20">
        <v>7509802</v>
      </c>
      <c r="C25" s="21">
        <v>0.73581267263516947</v>
      </c>
      <c r="D25" s="23">
        <v>7.5098019999999996</v>
      </c>
      <c r="F25" s="19" t="s">
        <v>56</v>
      </c>
      <c r="G25" s="20">
        <v>13</v>
      </c>
    </row>
    <row r="26" spans="1:7" x14ac:dyDescent="0.25">
      <c r="A26" s="19" t="s">
        <v>87</v>
      </c>
      <c r="B26" s="20">
        <v>69526</v>
      </c>
      <c r="C26" s="21">
        <v>6.8121785205033092E-3</v>
      </c>
      <c r="D26" s="23">
        <v>6.9526000000000004E-2</v>
      </c>
    </row>
    <row r="27" spans="1:7" x14ac:dyDescent="0.25">
      <c r="A27" s="19" t="s">
        <v>88</v>
      </c>
      <c r="B27" s="20">
        <v>191692</v>
      </c>
      <c r="C27" s="21">
        <v>1.8782040171336195E-2</v>
      </c>
      <c r="D27" s="23">
        <v>0.191692</v>
      </c>
    </row>
    <row r="28" spans="1:7" x14ac:dyDescent="0.25">
      <c r="A28" s="19" t="s">
        <v>90</v>
      </c>
      <c r="B28" s="20">
        <v>22014</v>
      </c>
      <c r="C28" s="21">
        <v>2.156938382049303E-3</v>
      </c>
      <c r="D28" s="23">
        <v>2.2013999999999999E-2</v>
      </c>
    </row>
    <row r="29" spans="1:7" x14ac:dyDescent="0.25">
      <c r="A29" s="19" t="s">
        <v>100</v>
      </c>
      <c r="B29" s="20">
        <v>34629</v>
      </c>
      <c r="C29" s="21">
        <v>3.3929598996995237E-3</v>
      </c>
      <c r="D29" s="23">
        <v>3.4629E-2</v>
      </c>
    </row>
    <row r="30" spans="1:7" x14ac:dyDescent="0.25">
      <c r="A30" s="19" t="s">
        <v>101</v>
      </c>
      <c r="B30" s="20">
        <v>7466</v>
      </c>
      <c r="C30" s="21">
        <v>7.3152093941946479E-4</v>
      </c>
      <c r="D30" s="23">
        <v>7.4660000000000004E-3</v>
      </c>
    </row>
    <row r="31" spans="1:7" x14ac:dyDescent="0.25">
      <c r="A31" s="19" t="s">
        <v>102</v>
      </c>
      <c r="B31" s="20">
        <v>1523760</v>
      </c>
      <c r="C31" s="21">
        <v>0.14929846593219978</v>
      </c>
      <c r="D31" s="23">
        <v>1.52376</v>
      </c>
    </row>
    <row r="32" spans="1:7" x14ac:dyDescent="0.25">
      <c r="A32" s="19" t="s">
        <v>106</v>
      </c>
      <c r="B32" s="20">
        <v>17459</v>
      </c>
      <c r="C32" s="21">
        <v>1.7106381035794851E-3</v>
      </c>
      <c r="D32" s="23">
        <v>1.7458999999999999E-2</v>
      </c>
    </row>
    <row r="33" spans="1:4" x14ac:dyDescent="0.25">
      <c r="A33" s="19" t="s">
        <v>107</v>
      </c>
      <c r="B33" s="20">
        <v>33058</v>
      </c>
      <c r="C33" s="21">
        <v>3.2390328442711848E-3</v>
      </c>
      <c r="D33" s="23">
        <v>3.3057999999999997E-2</v>
      </c>
    </row>
    <row r="34" spans="1:4" x14ac:dyDescent="0.25">
      <c r="A34" s="19" t="s">
        <v>56</v>
      </c>
      <c r="B34" s="20">
        <v>10206133</v>
      </c>
      <c r="C34" s="21">
        <v>1</v>
      </c>
      <c r="D34" s="23">
        <v>10.206132999999999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6"/>
  <sheetViews>
    <sheetView workbookViewId="0">
      <selection activeCell="J9" sqref="J9"/>
    </sheetView>
  </sheetViews>
  <sheetFormatPr baseColWidth="10" defaultRowHeight="15" x14ac:dyDescent="0.25"/>
  <cols>
    <col min="1" max="1" width="21" bestFit="1" customWidth="1"/>
    <col min="2" max="2" width="16.7109375" bestFit="1" customWidth="1"/>
  </cols>
  <sheetData>
    <row r="2" spans="1:2" x14ac:dyDescent="0.25">
      <c r="A2" s="18" t="s">
        <v>53</v>
      </c>
      <c r="B2" t="s">
        <v>64</v>
      </c>
    </row>
    <row r="3" spans="1:2" x14ac:dyDescent="0.25">
      <c r="A3" s="19" t="s">
        <v>16</v>
      </c>
      <c r="B3" s="20">
        <v>11</v>
      </c>
    </row>
    <row r="4" spans="1:2" x14ac:dyDescent="0.25">
      <c r="A4" s="19" t="s">
        <v>15</v>
      </c>
      <c r="B4" s="20">
        <v>1</v>
      </c>
    </row>
    <row r="5" spans="1:2" x14ac:dyDescent="0.25">
      <c r="A5" s="19" t="s">
        <v>18</v>
      </c>
      <c r="B5" s="20">
        <v>1</v>
      </c>
    </row>
    <row r="6" spans="1:2" x14ac:dyDescent="0.25">
      <c r="A6" s="19" t="s">
        <v>56</v>
      </c>
      <c r="B6" s="20">
        <v>13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L500"/>
  <sheetViews>
    <sheetView workbookViewId="0">
      <selection activeCell="G9" sqref="G9"/>
    </sheetView>
  </sheetViews>
  <sheetFormatPr baseColWidth="10" defaultRowHeight="15" x14ac:dyDescent="0.25"/>
  <cols>
    <col min="1" max="1" width="19.7109375" style="1" bestFit="1" customWidth="1"/>
    <col min="2" max="2" width="23" style="1" bestFit="1" customWidth="1"/>
    <col min="3" max="3" width="23" style="1" customWidth="1"/>
    <col min="4" max="4" width="0" style="1" hidden="1" customWidth="1"/>
    <col min="5" max="5" width="11.42578125" style="1"/>
    <col min="6" max="6" width="0" style="1" hidden="1" customWidth="1"/>
    <col min="7" max="7" width="11.42578125" style="1"/>
    <col min="8" max="8" width="0" style="1" hidden="1" customWidth="1"/>
    <col min="9" max="9" width="11.42578125" style="1"/>
    <col min="10" max="10" width="0" style="1" hidden="1" customWidth="1"/>
    <col min="11" max="11" width="11.42578125" style="1"/>
    <col min="12" max="12" width="0" hidden="1" customWidth="1"/>
  </cols>
  <sheetData>
    <row r="1" spans="1:12" s="1" customFormat="1" x14ac:dyDescent="0.25">
      <c r="A1" s="2" t="s">
        <v>12</v>
      </c>
      <c r="B1" s="2" t="s">
        <v>13</v>
      </c>
      <c r="C1" s="2" t="s">
        <v>29</v>
      </c>
      <c r="D1" s="1">
        <f>COUNTA(#REF!)</f>
        <v>1</v>
      </c>
      <c r="E1" s="2" t="s">
        <v>10</v>
      </c>
      <c r="F1" s="1">
        <f>COUNTA(E2:E500)</f>
        <v>5</v>
      </c>
      <c r="G1" s="2" t="s">
        <v>7</v>
      </c>
      <c r="H1" s="1">
        <f>COUNTA(G2:G500)</f>
        <v>6</v>
      </c>
      <c r="I1" s="2" t="s">
        <v>25</v>
      </c>
      <c r="J1" s="1">
        <f>COUNTA(I2:I500)</f>
        <v>2</v>
      </c>
      <c r="K1" s="2" t="s">
        <v>26</v>
      </c>
      <c r="L1" s="1">
        <f>COUNTA(K2:K500)</f>
        <v>2</v>
      </c>
    </row>
    <row r="2" spans="1:12" x14ac:dyDescent="0.25">
      <c r="A2" s="1" t="s">
        <v>14</v>
      </c>
      <c r="B2" s="1">
        <v>1001</v>
      </c>
      <c r="C2" s="1" t="s">
        <v>30</v>
      </c>
      <c r="E2" s="1" t="s">
        <v>17</v>
      </c>
      <c r="G2" s="1" t="s">
        <v>24</v>
      </c>
      <c r="I2" s="1" t="s">
        <v>58</v>
      </c>
      <c r="K2" s="1" t="s">
        <v>59</v>
      </c>
    </row>
    <row r="3" spans="1:12" x14ac:dyDescent="0.25">
      <c r="B3" s="1">
        <v>1002</v>
      </c>
      <c r="E3" s="1" t="s">
        <v>16</v>
      </c>
      <c r="G3" s="1" t="s">
        <v>21</v>
      </c>
      <c r="I3" s="1" t="s">
        <v>60</v>
      </c>
      <c r="K3" s="1" t="s">
        <v>61</v>
      </c>
    </row>
    <row r="4" spans="1:12" x14ac:dyDescent="0.25">
      <c r="B4" s="1">
        <v>1003</v>
      </c>
      <c r="E4" s="1" t="s">
        <v>18</v>
      </c>
      <c r="G4" s="1" t="s">
        <v>22</v>
      </c>
    </row>
    <row r="5" spans="1:12" x14ac:dyDescent="0.25">
      <c r="B5" s="1">
        <v>1004</v>
      </c>
      <c r="E5" s="1" t="s">
        <v>15</v>
      </c>
      <c r="G5" s="1" t="s">
        <v>23</v>
      </c>
    </row>
    <row r="6" spans="1:12" x14ac:dyDescent="0.25">
      <c r="B6" s="1">
        <v>1005</v>
      </c>
      <c r="E6" s="1" t="s">
        <v>19</v>
      </c>
      <c r="G6" s="1" t="s">
        <v>20</v>
      </c>
    </row>
    <row r="7" spans="1:12" x14ac:dyDescent="0.25">
      <c r="B7" s="1">
        <v>1006</v>
      </c>
      <c r="G7" s="1" t="s">
        <v>78</v>
      </c>
    </row>
    <row r="8" spans="1:12" x14ac:dyDescent="0.25">
      <c r="B8" s="1">
        <v>1007</v>
      </c>
    </row>
    <row r="9" spans="1:12" x14ac:dyDescent="0.25">
      <c r="B9" s="1">
        <v>1008</v>
      </c>
    </row>
    <row r="10" spans="1:12" x14ac:dyDescent="0.25">
      <c r="B10" s="1">
        <v>1009</v>
      </c>
    </row>
    <row r="11" spans="1:12" x14ac:dyDescent="0.25">
      <c r="B11" s="1">
        <v>1010</v>
      </c>
    </row>
    <row r="12" spans="1:12" x14ac:dyDescent="0.25">
      <c r="B12" s="1">
        <v>1011</v>
      </c>
    </row>
    <row r="13" spans="1:12" x14ac:dyDescent="0.25">
      <c r="B13" s="1">
        <v>1012</v>
      </c>
    </row>
    <row r="14" spans="1:12" x14ac:dyDescent="0.25">
      <c r="B14" s="1">
        <v>1013</v>
      </c>
    </row>
    <row r="15" spans="1:12" x14ac:dyDescent="0.25">
      <c r="B15" s="1">
        <v>1014</v>
      </c>
    </row>
    <row r="16" spans="1:12" x14ac:dyDescent="0.25">
      <c r="B16" s="1">
        <v>1015</v>
      </c>
    </row>
    <row r="17" spans="2:2" x14ac:dyDescent="0.25">
      <c r="B17" s="1">
        <v>1016</v>
      </c>
    </row>
    <row r="18" spans="2:2" x14ac:dyDescent="0.25">
      <c r="B18" s="1">
        <v>1017</v>
      </c>
    </row>
    <row r="19" spans="2:2" x14ac:dyDescent="0.25">
      <c r="B19" s="1">
        <v>1018</v>
      </c>
    </row>
    <row r="20" spans="2:2" x14ac:dyDescent="0.25">
      <c r="B20" s="1">
        <v>1019</v>
      </c>
    </row>
    <row r="21" spans="2:2" x14ac:dyDescent="0.25">
      <c r="B21" s="1">
        <v>1020</v>
      </c>
    </row>
    <row r="22" spans="2:2" x14ac:dyDescent="0.25">
      <c r="B22" s="1">
        <v>1021</v>
      </c>
    </row>
    <row r="23" spans="2:2" x14ac:dyDescent="0.25">
      <c r="B23" s="1">
        <v>1022</v>
      </c>
    </row>
    <row r="24" spans="2:2" x14ac:dyDescent="0.25">
      <c r="B24" s="1">
        <v>1023</v>
      </c>
    </row>
    <row r="25" spans="2:2" x14ac:dyDescent="0.25">
      <c r="B25" s="1">
        <v>1024</v>
      </c>
    </row>
    <row r="26" spans="2:2" x14ac:dyDescent="0.25">
      <c r="B26" s="1">
        <v>1025</v>
      </c>
    </row>
    <row r="27" spans="2:2" x14ac:dyDescent="0.25">
      <c r="B27" s="1">
        <v>1026</v>
      </c>
    </row>
    <row r="28" spans="2:2" x14ac:dyDescent="0.25">
      <c r="B28" s="1">
        <v>1027</v>
      </c>
    </row>
    <row r="29" spans="2:2" x14ac:dyDescent="0.25">
      <c r="B29" s="1">
        <v>1028</v>
      </c>
    </row>
    <row r="30" spans="2:2" x14ac:dyDescent="0.25">
      <c r="B30" s="1">
        <v>1029</v>
      </c>
    </row>
    <row r="31" spans="2:2" x14ac:dyDescent="0.25">
      <c r="B31" s="1">
        <v>1030</v>
      </c>
    </row>
    <row r="32" spans="2:2" x14ac:dyDescent="0.25">
      <c r="B32" s="1">
        <v>1031</v>
      </c>
    </row>
    <row r="33" spans="2:2" x14ac:dyDescent="0.25">
      <c r="B33" s="1">
        <v>1032</v>
      </c>
    </row>
    <row r="34" spans="2:2" x14ac:dyDescent="0.25">
      <c r="B34" s="1">
        <v>1033</v>
      </c>
    </row>
    <row r="35" spans="2:2" x14ac:dyDescent="0.25">
      <c r="B35" s="1">
        <v>1034</v>
      </c>
    </row>
    <row r="36" spans="2:2" x14ac:dyDescent="0.25">
      <c r="B36" s="1">
        <v>1035</v>
      </c>
    </row>
    <row r="37" spans="2:2" x14ac:dyDescent="0.25">
      <c r="B37" s="1">
        <v>1036</v>
      </c>
    </row>
    <row r="38" spans="2:2" x14ac:dyDescent="0.25">
      <c r="B38" s="1">
        <v>1037</v>
      </c>
    </row>
    <row r="39" spans="2:2" x14ac:dyDescent="0.25">
      <c r="B39" s="1">
        <v>1038</v>
      </c>
    </row>
    <row r="40" spans="2:2" x14ac:dyDescent="0.25">
      <c r="B40" s="1">
        <v>1039</v>
      </c>
    </row>
    <row r="41" spans="2:2" x14ac:dyDescent="0.25">
      <c r="B41" s="1">
        <v>1040</v>
      </c>
    </row>
    <row r="42" spans="2:2" x14ac:dyDescent="0.25">
      <c r="B42" s="1">
        <v>1041</v>
      </c>
    </row>
    <row r="43" spans="2:2" x14ac:dyDescent="0.25">
      <c r="B43" s="1">
        <v>1042</v>
      </c>
    </row>
    <row r="44" spans="2:2" x14ac:dyDescent="0.25">
      <c r="B44" s="1">
        <v>1043</v>
      </c>
    </row>
    <row r="45" spans="2:2" x14ac:dyDescent="0.25">
      <c r="B45" s="1">
        <v>1044</v>
      </c>
    </row>
    <row r="46" spans="2:2" x14ac:dyDescent="0.25">
      <c r="B46" s="1">
        <v>1045</v>
      </c>
    </row>
    <row r="47" spans="2:2" x14ac:dyDescent="0.25">
      <c r="B47" s="1">
        <v>1046</v>
      </c>
    </row>
    <row r="48" spans="2:2" x14ac:dyDescent="0.25">
      <c r="B48" s="1">
        <v>1047</v>
      </c>
    </row>
    <row r="49" spans="2:2" x14ac:dyDescent="0.25">
      <c r="B49" s="1">
        <v>1048</v>
      </c>
    </row>
    <row r="50" spans="2:2" x14ac:dyDescent="0.25">
      <c r="B50" s="1">
        <v>1049</v>
      </c>
    </row>
    <row r="51" spans="2:2" x14ac:dyDescent="0.25">
      <c r="B51" s="1">
        <v>1050</v>
      </c>
    </row>
    <row r="52" spans="2:2" x14ac:dyDescent="0.25">
      <c r="B52" s="1">
        <v>1051</v>
      </c>
    </row>
    <row r="53" spans="2:2" x14ac:dyDescent="0.25">
      <c r="B53" s="1">
        <v>1052</v>
      </c>
    </row>
    <row r="54" spans="2:2" x14ac:dyDescent="0.25">
      <c r="B54" s="1">
        <v>1053</v>
      </c>
    </row>
    <row r="55" spans="2:2" x14ac:dyDescent="0.25">
      <c r="B55" s="1">
        <v>1054</v>
      </c>
    </row>
    <row r="56" spans="2:2" x14ac:dyDescent="0.25">
      <c r="B56" s="1">
        <v>1055</v>
      </c>
    </row>
    <row r="57" spans="2:2" x14ac:dyDescent="0.25">
      <c r="B57" s="1">
        <v>1056</v>
      </c>
    </row>
    <row r="58" spans="2:2" x14ac:dyDescent="0.25">
      <c r="B58" s="1">
        <v>1057</v>
      </c>
    </row>
    <row r="59" spans="2:2" x14ac:dyDescent="0.25">
      <c r="B59" s="1">
        <v>1058</v>
      </c>
    </row>
    <row r="60" spans="2:2" x14ac:dyDescent="0.25">
      <c r="B60" s="1">
        <v>1059</v>
      </c>
    </row>
    <row r="61" spans="2:2" x14ac:dyDescent="0.25">
      <c r="B61" s="1">
        <v>1060</v>
      </c>
    </row>
    <row r="62" spans="2:2" x14ac:dyDescent="0.25">
      <c r="B62" s="1">
        <v>1061</v>
      </c>
    </row>
    <row r="63" spans="2:2" x14ac:dyDescent="0.25">
      <c r="B63" s="1">
        <v>1062</v>
      </c>
    </row>
    <row r="64" spans="2:2" x14ac:dyDescent="0.25">
      <c r="B64" s="1">
        <v>1063</v>
      </c>
    </row>
    <row r="65" spans="2:2" x14ac:dyDescent="0.25">
      <c r="B65" s="1">
        <v>1064</v>
      </c>
    </row>
    <row r="66" spans="2:2" x14ac:dyDescent="0.25">
      <c r="B66" s="1">
        <v>1065</v>
      </c>
    </row>
    <row r="67" spans="2:2" x14ac:dyDescent="0.25">
      <c r="B67" s="1">
        <v>1066</v>
      </c>
    </row>
    <row r="68" spans="2:2" x14ac:dyDescent="0.25">
      <c r="B68" s="1">
        <v>1067</v>
      </c>
    </row>
    <row r="69" spans="2:2" x14ac:dyDescent="0.25">
      <c r="B69" s="1">
        <v>1068</v>
      </c>
    </row>
    <row r="70" spans="2:2" x14ac:dyDescent="0.25">
      <c r="B70" s="1">
        <v>1069</v>
      </c>
    </row>
    <row r="71" spans="2:2" x14ac:dyDescent="0.25">
      <c r="B71" s="1">
        <v>1070</v>
      </c>
    </row>
    <row r="72" spans="2:2" x14ac:dyDescent="0.25">
      <c r="B72" s="1">
        <v>1071</v>
      </c>
    </row>
    <row r="73" spans="2:2" x14ac:dyDescent="0.25">
      <c r="B73" s="1">
        <v>1072</v>
      </c>
    </row>
    <row r="74" spans="2:2" x14ac:dyDescent="0.25">
      <c r="B74" s="1">
        <v>1073</v>
      </c>
    </row>
    <row r="75" spans="2:2" x14ac:dyDescent="0.25">
      <c r="B75" s="1">
        <v>1074</v>
      </c>
    </row>
    <row r="76" spans="2:2" x14ac:dyDescent="0.25">
      <c r="B76" s="1">
        <v>1075</v>
      </c>
    </row>
    <row r="77" spans="2:2" x14ac:dyDescent="0.25">
      <c r="B77" s="1">
        <v>1076</v>
      </c>
    </row>
    <row r="78" spans="2:2" x14ac:dyDescent="0.25">
      <c r="B78" s="1">
        <v>1077</v>
      </c>
    </row>
    <row r="79" spans="2:2" x14ac:dyDescent="0.25">
      <c r="B79" s="1">
        <v>1078</v>
      </c>
    </row>
    <row r="80" spans="2:2" x14ac:dyDescent="0.25">
      <c r="B80" s="1">
        <v>1079</v>
      </c>
    </row>
    <row r="81" spans="2:2" x14ac:dyDescent="0.25">
      <c r="B81" s="1">
        <v>1080</v>
      </c>
    </row>
    <row r="82" spans="2:2" x14ac:dyDescent="0.25">
      <c r="B82" s="1">
        <v>1081</v>
      </c>
    </row>
    <row r="83" spans="2:2" x14ac:dyDescent="0.25">
      <c r="B83" s="1">
        <v>1082</v>
      </c>
    </row>
    <row r="84" spans="2:2" x14ac:dyDescent="0.25">
      <c r="B84" s="1">
        <v>1083</v>
      </c>
    </row>
    <row r="85" spans="2:2" x14ac:dyDescent="0.25">
      <c r="B85" s="1">
        <v>1084</v>
      </c>
    </row>
    <row r="86" spans="2:2" x14ac:dyDescent="0.25">
      <c r="B86" s="1">
        <v>1085</v>
      </c>
    </row>
    <row r="87" spans="2:2" x14ac:dyDescent="0.25">
      <c r="B87" s="1">
        <v>1086</v>
      </c>
    </row>
    <row r="88" spans="2:2" x14ac:dyDescent="0.25">
      <c r="B88" s="1">
        <v>1087</v>
      </c>
    </row>
    <row r="89" spans="2:2" x14ac:dyDescent="0.25">
      <c r="B89" s="1">
        <v>1088</v>
      </c>
    </row>
    <row r="90" spans="2:2" x14ac:dyDescent="0.25">
      <c r="B90" s="1">
        <v>1089</v>
      </c>
    </row>
    <row r="91" spans="2:2" x14ac:dyDescent="0.25">
      <c r="B91" s="1">
        <v>1090</v>
      </c>
    </row>
    <row r="92" spans="2:2" x14ac:dyDescent="0.25">
      <c r="B92" s="1">
        <v>1091</v>
      </c>
    </row>
    <row r="93" spans="2:2" x14ac:dyDescent="0.25">
      <c r="B93" s="1">
        <v>1092</v>
      </c>
    </row>
    <row r="94" spans="2:2" x14ac:dyDescent="0.25">
      <c r="B94" s="1">
        <v>1093</v>
      </c>
    </row>
    <row r="95" spans="2:2" x14ac:dyDescent="0.25">
      <c r="B95" s="1">
        <v>1094</v>
      </c>
    </row>
    <row r="96" spans="2:2" x14ac:dyDescent="0.25">
      <c r="B96" s="1">
        <v>1095</v>
      </c>
    </row>
    <row r="97" spans="2:2" x14ac:dyDescent="0.25">
      <c r="B97" s="1">
        <v>1096</v>
      </c>
    </row>
    <row r="98" spans="2:2" x14ac:dyDescent="0.25">
      <c r="B98" s="1">
        <v>1097</v>
      </c>
    </row>
    <row r="99" spans="2:2" x14ac:dyDescent="0.25">
      <c r="B99" s="1">
        <v>1098</v>
      </c>
    </row>
    <row r="100" spans="2:2" x14ac:dyDescent="0.25">
      <c r="B100" s="1">
        <v>1099</v>
      </c>
    </row>
    <row r="101" spans="2:2" x14ac:dyDescent="0.25">
      <c r="B101" s="1">
        <v>1100</v>
      </c>
    </row>
    <row r="102" spans="2:2" x14ac:dyDescent="0.25">
      <c r="B102" s="1">
        <v>1101</v>
      </c>
    </row>
    <row r="103" spans="2:2" x14ac:dyDescent="0.25">
      <c r="B103" s="1">
        <v>1102</v>
      </c>
    </row>
    <row r="104" spans="2:2" x14ac:dyDescent="0.25">
      <c r="B104" s="1">
        <v>1103</v>
      </c>
    </row>
    <row r="105" spans="2:2" x14ac:dyDescent="0.25">
      <c r="B105" s="1">
        <v>1104</v>
      </c>
    </row>
    <row r="106" spans="2:2" x14ac:dyDescent="0.25">
      <c r="B106" s="1">
        <v>1105</v>
      </c>
    </row>
    <row r="107" spans="2:2" x14ac:dyDescent="0.25">
      <c r="B107" s="1">
        <v>1106</v>
      </c>
    </row>
    <row r="108" spans="2:2" x14ac:dyDescent="0.25">
      <c r="B108" s="1">
        <v>1107</v>
      </c>
    </row>
    <row r="109" spans="2:2" x14ac:dyDescent="0.25">
      <c r="B109" s="1">
        <v>1108</v>
      </c>
    </row>
    <row r="110" spans="2:2" x14ac:dyDescent="0.25">
      <c r="B110" s="1">
        <v>1109</v>
      </c>
    </row>
    <row r="111" spans="2:2" x14ac:dyDescent="0.25">
      <c r="B111" s="1">
        <v>1110</v>
      </c>
    </row>
    <row r="112" spans="2:2" x14ac:dyDescent="0.25">
      <c r="B112" s="1">
        <v>1111</v>
      </c>
    </row>
    <row r="113" spans="2:2" x14ac:dyDescent="0.25">
      <c r="B113" s="1">
        <v>1112</v>
      </c>
    </row>
    <row r="114" spans="2:2" x14ac:dyDescent="0.25">
      <c r="B114" s="1">
        <v>1113</v>
      </c>
    </row>
    <row r="115" spans="2:2" x14ac:dyDescent="0.25">
      <c r="B115" s="1">
        <v>1114</v>
      </c>
    </row>
    <row r="116" spans="2:2" x14ac:dyDescent="0.25">
      <c r="B116" s="1">
        <v>1115</v>
      </c>
    </row>
    <row r="117" spans="2:2" x14ac:dyDescent="0.25">
      <c r="B117" s="1">
        <v>1116</v>
      </c>
    </row>
    <row r="118" spans="2:2" x14ac:dyDescent="0.25">
      <c r="B118" s="1">
        <v>1117</v>
      </c>
    </row>
    <row r="119" spans="2:2" x14ac:dyDescent="0.25">
      <c r="B119" s="1">
        <v>1118</v>
      </c>
    </row>
    <row r="120" spans="2:2" x14ac:dyDescent="0.25">
      <c r="B120" s="1">
        <v>1119</v>
      </c>
    </row>
    <row r="121" spans="2:2" x14ac:dyDescent="0.25">
      <c r="B121" s="1">
        <v>1120</v>
      </c>
    </row>
    <row r="122" spans="2:2" x14ac:dyDescent="0.25">
      <c r="B122" s="1">
        <v>1121</v>
      </c>
    </row>
    <row r="123" spans="2:2" x14ac:dyDescent="0.25">
      <c r="B123" s="1">
        <v>1122</v>
      </c>
    </row>
    <row r="124" spans="2:2" x14ac:dyDescent="0.25">
      <c r="B124" s="1">
        <v>1123</v>
      </c>
    </row>
    <row r="125" spans="2:2" x14ac:dyDescent="0.25">
      <c r="B125" s="1">
        <v>1124</v>
      </c>
    </row>
    <row r="126" spans="2:2" x14ac:dyDescent="0.25">
      <c r="B126" s="1">
        <v>1125</v>
      </c>
    </row>
    <row r="127" spans="2:2" x14ac:dyDescent="0.25">
      <c r="B127" s="1">
        <v>1126</v>
      </c>
    </row>
    <row r="128" spans="2:2" x14ac:dyDescent="0.25">
      <c r="B128" s="1">
        <v>1127</v>
      </c>
    </row>
    <row r="129" spans="2:2" x14ac:dyDescent="0.25">
      <c r="B129" s="1">
        <v>1128</v>
      </c>
    </row>
    <row r="130" spans="2:2" x14ac:dyDescent="0.25">
      <c r="B130" s="1">
        <v>1129</v>
      </c>
    </row>
    <row r="131" spans="2:2" x14ac:dyDescent="0.25">
      <c r="B131" s="1">
        <v>1130</v>
      </c>
    </row>
    <row r="132" spans="2:2" x14ac:dyDescent="0.25">
      <c r="B132" s="1">
        <v>1131</v>
      </c>
    </row>
    <row r="133" spans="2:2" x14ac:dyDescent="0.25">
      <c r="B133" s="1">
        <v>1132</v>
      </c>
    </row>
    <row r="134" spans="2:2" x14ac:dyDescent="0.25">
      <c r="B134" s="1">
        <v>1133</v>
      </c>
    </row>
    <row r="135" spans="2:2" x14ac:dyDescent="0.25">
      <c r="B135" s="1">
        <v>1134</v>
      </c>
    </row>
    <row r="136" spans="2:2" x14ac:dyDescent="0.25">
      <c r="B136" s="1">
        <v>1135</v>
      </c>
    </row>
    <row r="137" spans="2:2" x14ac:dyDescent="0.25">
      <c r="B137" s="1">
        <v>1136</v>
      </c>
    </row>
    <row r="138" spans="2:2" x14ac:dyDescent="0.25">
      <c r="B138" s="1">
        <v>1137</v>
      </c>
    </row>
    <row r="139" spans="2:2" x14ac:dyDescent="0.25">
      <c r="B139" s="1">
        <v>1138</v>
      </c>
    </row>
    <row r="140" spans="2:2" x14ac:dyDescent="0.25">
      <c r="B140" s="1">
        <v>1139</v>
      </c>
    </row>
    <row r="141" spans="2:2" x14ac:dyDescent="0.25">
      <c r="B141" s="1">
        <v>1140</v>
      </c>
    </row>
    <row r="142" spans="2:2" x14ac:dyDescent="0.25">
      <c r="B142" s="1">
        <v>1141</v>
      </c>
    </row>
    <row r="143" spans="2:2" x14ac:dyDescent="0.25">
      <c r="B143" s="1">
        <v>1142</v>
      </c>
    </row>
    <row r="144" spans="2:2" x14ac:dyDescent="0.25">
      <c r="B144" s="1">
        <v>1143</v>
      </c>
    </row>
    <row r="145" spans="2:2" x14ac:dyDescent="0.25">
      <c r="B145" s="1">
        <v>1144</v>
      </c>
    </row>
    <row r="146" spans="2:2" x14ac:dyDescent="0.25">
      <c r="B146" s="1">
        <v>1145</v>
      </c>
    </row>
    <row r="147" spans="2:2" x14ac:dyDescent="0.25">
      <c r="B147" s="1">
        <v>1146</v>
      </c>
    </row>
    <row r="148" spans="2:2" x14ac:dyDescent="0.25">
      <c r="B148" s="1">
        <v>1147</v>
      </c>
    </row>
    <row r="149" spans="2:2" x14ac:dyDescent="0.25">
      <c r="B149" s="1">
        <v>1148</v>
      </c>
    </row>
    <row r="150" spans="2:2" x14ac:dyDescent="0.25">
      <c r="B150" s="1">
        <v>1149</v>
      </c>
    </row>
    <row r="151" spans="2:2" x14ac:dyDescent="0.25">
      <c r="B151" s="1">
        <v>1150</v>
      </c>
    </row>
    <row r="152" spans="2:2" x14ac:dyDescent="0.25">
      <c r="B152" s="1">
        <v>1151</v>
      </c>
    </row>
    <row r="153" spans="2:2" x14ac:dyDescent="0.25">
      <c r="B153" s="1">
        <v>1152</v>
      </c>
    </row>
    <row r="154" spans="2:2" x14ac:dyDescent="0.25">
      <c r="B154" s="1">
        <v>1153</v>
      </c>
    </row>
    <row r="155" spans="2:2" x14ac:dyDescent="0.25">
      <c r="B155" s="1">
        <v>1154</v>
      </c>
    </row>
    <row r="156" spans="2:2" x14ac:dyDescent="0.25">
      <c r="B156" s="1">
        <v>1155</v>
      </c>
    </row>
    <row r="157" spans="2:2" x14ac:dyDescent="0.25">
      <c r="B157" s="1">
        <v>1156</v>
      </c>
    </row>
    <row r="158" spans="2:2" x14ac:dyDescent="0.25">
      <c r="B158" s="1">
        <v>1157</v>
      </c>
    </row>
    <row r="159" spans="2:2" x14ac:dyDescent="0.25">
      <c r="B159" s="1">
        <v>1158</v>
      </c>
    </row>
    <row r="160" spans="2:2" x14ac:dyDescent="0.25">
      <c r="B160" s="1">
        <v>1159</v>
      </c>
    </row>
    <row r="161" spans="2:2" x14ac:dyDescent="0.25">
      <c r="B161" s="1">
        <v>1160</v>
      </c>
    </row>
    <row r="162" spans="2:2" x14ac:dyDescent="0.25">
      <c r="B162" s="1">
        <v>1161</v>
      </c>
    </row>
    <row r="163" spans="2:2" x14ac:dyDescent="0.25">
      <c r="B163" s="1">
        <v>1162</v>
      </c>
    </row>
    <row r="164" spans="2:2" x14ac:dyDescent="0.25">
      <c r="B164" s="1">
        <v>1163</v>
      </c>
    </row>
    <row r="165" spans="2:2" x14ac:dyDescent="0.25">
      <c r="B165" s="1">
        <v>1164</v>
      </c>
    </row>
    <row r="166" spans="2:2" x14ac:dyDescent="0.25">
      <c r="B166" s="1">
        <v>1165</v>
      </c>
    </row>
    <row r="167" spans="2:2" x14ac:dyDescent="0.25">
      <c r="B167" s="1">
        <v>1166</v>
      </c>
    </row>
    <row r="168" spans="2:2" x14ac:dyDescent="0.25">
      <c r="B168" s="1">
        <v>1167</v>
      </c>
    </row>
    <row r="169" spans="2:2" x14ac:dyDescent="0.25">
      <c r="B169" s="1">
        <v>1168</v>
      </c>
    </row>
    <row r="170" spans="2:2" x14ac:dyDescent="0.25">
      <c r="B170" s="1">
        <v>1169</v>
      </c>
    </row>
    <row r="171" spans="2:2" x14ac:dyDescent="0.25">
      <c r="B171" s="1">
        <v>1170</v>
      </c>
    </row>
    <row r="172" spans="2:2" x14ac:dyDescent="0.25">
      <c r="B172" s="1">
        <v>1171</v>
      </c>
    </row>
    <row r="173" spans="2:2" x14ac:dyDescent="0.25">
      <c r="B173" s="1">
        <v>1172</v>
      </c>
    </row>
    <row r="174" spans="2:2" x14ac:dyDescent="0.25">
      <c r="B174" s="1">
        <v>1173</v>
      </c>
    </row>
    <row r="175" spans="2:2" x14ac:dyDescent="0.25">
      <c r="B175" s="1">
        <v>1174</v>
      </c>
    </row>
    <row r="176" spans="2:2" x14ac:dyDescent="0.25">
      <c r="B176" s="1">
        <v>1175</v>
      </c>
    </row>
    <row r="177" spans="2:2" x14ac:dyDescent="0.25">
      <c r="B177" s="1">
        <v>1176</v>
      </c>
    </row>
    <row r="178" spans="2:2" x14ac:dyDescent="0.25">
      <c r="B178" s="1">
        <v>1177</v>
      </c>
    </row>
    <row r="179" spans="2:2" x14ac:dyDescent="0.25">
      <c r="B179" s="1">
        <v>1178</v>
      </c>
    </row>
    <row r="180" spans="2:2" x14ac:dyDescent="0.25">
      <c r="B180" s="1">
        <v>1179</v>
      </c>
    </row>
    <row r="181" spans="2:2" x14ac:dyDescent="0.25">
      <c r="B181" s="1">
        <v>1180</v>
      </c>
    </row>
    <row r="182" spans="2:2" x14ac:dyDescent="0.25">
      <c r="B182" s="1">
        <v>1181</v>
      </c>
    </row>
    <row r="183" spans="2:2" x14ac:dyDescent="0.25">
      <c r="B183" s="1">
        <v>1182</v>
      </c>
    </row>
    <row r="184" spans="2:2" x14ac:dyDescent="0.25">
      <c r="B184" s="1">
        <v>1183</v>
      </c>
    </row>
    <row r="185" spans="2:2" x14ac:dyDescent="0.25">
      <c r="B185" s="1">
        <v>1184</v>
      </c>
    </row>
    <row r="186" spans="2:2" x14ac:dyDescent="0.25">
      <c r="B186" s="1">
        <v>1185</v>
      </c>
    </row>
    <row r="187" spans="2:2" x14ac:dyDescent="0.25">
      <c r="B187" s="1">
        <v>1186</v>
      </c>
    </row>
    <row r="188" spans="2:2" x14ac:dyDescent="0.25">
      <c r="B188" s="1">
        <v>1187</v>
      </c>
    </row>
    <row r="189" spans="2:2" x14ac:dyDescent="0.25">
      <c r="B189" s="1">
        <v>1188</v>
      </c>
    </row>
    <row r="190" spans="2:2" x14ac:dyDescent="0.25">
      <c r="B190" s="1">
        <v>1189</v>
      </c>
    </row>
    <row r="191" spans="2:2" x14ac:dyDescent="0.25">
      <c r="B191" s="1">
        <v>1190</v>
      </c>
    </row>
    <row r="192" spans="2:2" x14ac:dyDescent="0.25">
      <c r="B192" s="1">
        <v>1191</v>
      </c>
    </row>
    <row r="193" spans="2:2" x14ac:dyDescent="0.25">
      <c r="B193" s="1">
        <v>1192</v>
      </c>
    </row>
    <row r="194" spans="2:2" x14ac:dyDescent="0.25">
      <c r="B194" s="1">
        <v>1193</v>
      </c>
    </row>
    <row r="195" spans="2:2" x14ac:dyDescent="0.25">
      <c r="B195" s="1">
        <v>1194</v>
      </c>
    </row>
    <row r="196" spans="2:2" x14ac:dyDescent="0.25">
      <c r="B196" s="1">
        <v>1195</v>
      </c>
    </row>
    <row r="197" spans="2:2" x14ac:dyDescent="0.25">
      <c r="B197" s="1">
        <v>1196</v>
      </c>
    </row>
    <row r="198" spans="2:2" x14ac:dyDescent="0.25">
      <c r="B198" s="1">
        <v>1197</v>
      </c>
    </row>
    <row r="199" spans="2:2" x14ac:dyDescent="0.25">
      <c r="B199" s="1">
        <v>1198</v>
      </c>
    </row>
    <row r="200" spans="2:2" x14ac:dyDescent="0.25">
      <c r="B200" s="1">
        <v>1199</v>
      </c>
    </row>
    <row r="201" spans="2:2" x14ac:dyDescent="0.25">
      <c r="B201" s="1">
        <v>1200</v>
      </c>
    </row>
    <row r="202" spans="2:2" x14ac:dyDescent="0.25">
      <c r="B202" s="1">
        <v>1201</v>
      </c>
    </row>
    <row r="203" spans="2:2" x14ac:dyDescent="0.25">
      <c r="B203" s="1">
        <v>1202</v>
      </c>
    </row>
    <row r="204" spans="2:2" x14ac:dyDescent="0.25">
      <c r="B204" s="1">
        <v>1203</v>
      </c>
    </row>
    <row r="205" spans="2:2" x14ac:dyDescent="0.25">
      <c r="B205" s="1">
        <v>1204</v>
      </c>
    </row>
    <row r="206" spans="2:2" x14ac:dyDescent="0.25">
      <c r="B206" s="1">
        <v>1205</v>
      </c>
    </row>
    <row r="207" spans="2:2" x14ac:dyDescent="0.25">
      <c r="B207" s="1">
        <v>1206</v>
      </c>
    </row>
    <row r="208" spans="2:2" x14ac:dyDescent="0.25">
      <c r="B208" s="1">
        <v>1207</v>
      </c>
    </row>
    <row r="209" spans="2:2" x14ac:dyDescent="0.25">
      <c r="B209" s="1">
        <v>1208</v>
      </c>
    </row>
    <row r="210" spans="2:2" x14ac:dyDescent="0.25">
      <c r="B210" s="1">
        <v>1209</v>
      </c>
    </row>
    <row r="211" spans="2:2" x14ac:dyDescent="0.25">
      <c r="B211" s="1">
        <v>1210</v>
      </c>
    </row>
    <row r="212" spans="2:2" x14ac:dyDescent="0.25">
      <c r="B212" s="1">
        <v>1211</v>
      </c>
    </row>
    <row r="213" spans="2:2" x14ac:dyDescent="0.25">
      <c r="B213" s="1">
        <v>1212</v>
      </c>
    </row>
    <row r="214" spans="2:2" x14ac:dyDescent="0.25">
      <c r="B214" s="1">
        <v>1213</v>
      </c>
    </row>
    <row r="215" spans="2:2" x14ac:dyDescent="0.25">
      <c r="B215" s="1">
        <v>1214</v>
      </c>
    </row>
    <row r="216" spans="2:2" x14ac:dyDescent="0.25">
      <c r="B216" s="1">
        <v>1215</v>
      </c>
    </row>
    <row r="217" spans="2:2" x14ac:dyDescent="0.25">
      <c r="B217" s="1">
        <v>1216</v>
      </c>
    </row>
    <row r="218" spans="2:2" x14ac:dyDescent="0.25">
      <c r="B218" s="1">
        <v>1217</v>
      </c>
    </row>
    <row r="219" spans="2:2" x14ac:dyDescent="0.25">
      <c r="B219" s="1">
        <v>1218</v>
      </c>
    </row>
    <row r="220" spans="2:2" x14ac:dyDescent="0.25">
      <c r="B220" s="1">
        <v>1219</v>
      </c>
    </row>
    <row r="221" spans="2:2" x14ac:dyDescent="0.25">
      <c r="B221" s="1">
        <v>1220</v>
      </c>
    </row>
    <row r="222" spans="2:2" x14ac:dyDescent="0.25">
      <c r="B222" s="1">
        <v>1221</v>
      </c>
    </row>
    <row r="223" spans="2:2" x14ac:dyDescent="0.25">
      <c r="B223" s="1">
        <v>1222</v>
      </c>
    </row>
    <row r="224" spans="2:2" x14ac:dyDescent="0.25">
      <c r="B224" s="1">
        <v>1223</v>
      </c>
    </row>
    <row r="225" spans="2:2" x14ac:dyDescent="0.25">
      <c r="B225" s="1">
        <v>1224</v>
      </c>
    </row>
    <row r="226" spans="2:2" x14ac:dyDescent="0.25">
      <c r="B226" s="1">
        <v>1225</v>
      </c>
    </row>
    <row r="227" spans="2:2" x14ac:dyDescent="0.25">
      <c r="B227" s="1">
        <v>1226</v>
      </c>
    </row>
    <row r="228" spans="2:2" x14ac:dyDescent="0.25">
      <c r="B228" s="1">
        <v>1227</v>
      </c>
    </row>
    <row r="229" spans="2:2" x14ac:dyDescent="0.25">
      <c r="B229" s="1">
        <v>1228</v>
      </c>
    </row>
    <row r="230" spans="2:2" x14ac:dyDescent="0.25">
      <c r="B230" s="1">
        <v>1229</v>
      </c>
    </row>
    <row r="231" spans="2:2" x14ac:dyDescent="0.25">
      <c r="B231" s="1">
        <v>1230</v>
      </c>
    </row>
    <row r="232" spans="2:2" x14ac:dyDescent="0.25">
      <c r="B232" s="1">
        <v>1231</v>
      </c>
    </row>
    <row r="233" spans="2:2" x14ac:dyDescent="0.25">
      <c r="B233" s="1">
        <v>1232</v>
      </c>
    </row>
    <row r="234" spans="2:2" x14ac:dyDescent="0.25">
      <c r="B234" s="1">
        <v>1233</v>
      </c>
    </row>
    <row r="235" spans="2:2" x14ac:dyDescent="0.25">
      <c r="B235" s="1">
        <v>1234</v>
      </c>
    </row>
    <row r="236" spans="2:2" x14ac:dyDescent="0.25">
      <c r="B236" s="1">
        <v>1235</v>
      </c>
    </row>
    <row r="237" spans="2:2" x14ac:dyDescent="0.25">
      <c r="B237" s="1">
        <v>1236</v>
      </c>
    </row>
    <row r="238" spans="2:2" x14ac:dyDescent="0.25">
      <c r="B238" s="1">
        <v>1237</v>
      </c>
    </row>
    <row r="239" spans="2:2" x14ac:dyDescent="0.25">
      <c r="B239" s="1">
        <v>1238</v>
      </c>
    </row>
    <row r="240" spans="2:2" x14ac:dyDescent="0.25">
      <c r="B240" s="1">
        <v>1239</v>
      </c>
    </row>
    <row r="241" spans="2:2" x14ac:dyDescent="0.25">
      <c r="B241" s="1">
        <v>1240</v>
      </c>
    </row>
    <row r="242" spans="2:2" x14ac:dyDescent="0.25">
      <c r="B242" s="1">
        <v>1241</v>
      </c>
    </row>
    <row r="243" spans="2:2" x14ac:dyDescent="0.25">
      <c r="B243" s="1">
        <v>1242</v>
      </c>
    </row>
    <row r="244" spans="2:2" x14ac:dyDescent="0.25">
      <c r="B244" s="1">
        <v>1243</v>
      </c>
    </row>
    <row r="245" spans="2:2" x14ac:dyDescent="0.25">
      <c r="B245" s="1">
        <v>1244</v>
      </c>
    </row>
    <row r="246" spans="2:2" x14ac:dyDescent="0.25">
      <c r="B246" s="1">
        <v>1245</v>
      </c>
    </row>
    <row r="247" spans="2:2" x14ac:dyDescent="0.25">
      <c r="B247" s="1">
        <v>1246</v>
      </c>
    </row>
    <row r="248" spans="2:2" x14ac:dyDescent="0.25">
      <c r="B248" s="1">
        <v>1247</v>
      </c>
    </row>
    <row r="249" spans="2:2" x14ac:dyDescent="0.25">
      <c r="B249" s="1">
        <v>1248</v>
      </c>
    </row>
    <row r="250" spans="2:2" x14ac:dyDescent="0.25">
      <c r="B250" s="1">
        <v>1249</v>
      </c>
    </row>
    <row r="251" spans="2:2" x14ac:dyDescent="0.25">
      <c r="B251" s="1">
        <v>1250</v>
      </c>
    </row>
    <row r="252" spans="2:2" x14ac:dyDescent="0.25">
      <c r="B252" s="1">
        <v>1251</v>
      </c>
    </row>
    <row r="253" spans="2:2" x14ac:dyDescent="0.25">
      <c r="B253" s="1">
        <v>1252</v>
      </c>
    </row>
    <row r="254" spans="2:2" x14ac:dyDescent="0.25">
      <c r="B254" s="1">
        <v>1253</v>
      </c>
    </row>
    <row r="255" spans="2:2" x14ac:dyDescent="0.25">
      <c r="B255" s="1">
        <v>1254</v>
      </c>
    </row>
    <row r="256" spans="2:2" x14ac:dyDescent="0.25">
      <c r="B256" s="1">
        <v>1255</v>
      </c>
    </row>
    <row r="257" spans="2:2" x14ac:dyDescent="0.25">
      <c r="B257" s="1">
        <v>1256</v>
      </c>
    </row>
    <row r="258" spans="2:2" x14ac:dyDescent="0.25">
      <c r="B258" s="1">
        <v>1257</v>
      </c>
    </row>
    <row r="259" spans="2:2" x14ac:dyDescent="0.25">
      <c r="B259" s="1">
        <v>1258</v>
      </c>
    </row>
    <row r="260" spans="2:2" x14ac:dyDescent="0.25">
      <c r="B260" s="1">
        <v>1259</v>
      </c>
    </row>
    <row r="261" spans="2:2" x14ac:dyDescent="0.25">
      <c r="B261" s="1">
        <v>1260</v>
      </c>
    </row>
    <row r="262" spans="2:2" x14ac:dyDescent="0.25">
      <c r="B262" s="1">
        <v>1261</v>
      </c>
    </row>
    <row r="263" spans="2:2" x14ac:dyDescent="0.25">
      <c r="B263" s="1">
        <v>1262</v>
      </c>
    </row>
    <row r="264" spans="2:2" x14ac:dyDescent="0.25">
      <c r="B264" s="1">
        <v>1263</v>
      </c>
    </row>
    <row r="265" spans="2:2" x14ac:dyDescent="0.25">
      <c r="B265" s="1">
        <v>1264</v>
      </c>
    </row>
    <row r="266" spans="2:2" x14ac:dyDescent="0.25">
      <c r="B266" s="1">
        <v>1265</v>
      </c>
    </row>
    <row r="267" spans="2:2" x14ac:dyDescent="0.25">
      <c r="B267" s="1">
        <v>1266</v>
      </c>
    </row>
    <row r="268" spans="2:2" x14ac:dyDescent="0.25">
      <c r="B268" s="1">
        <v>1267</v>
      </c>
    </row>
    <row r="269" spans="2:2" x14ac:dyDescent="0.25">
      <c r="B269" s="1">
        <v>1268</v>
      </c>
    </row>
    <row r="270" spans="2:2" x14ac:dyDescent="0.25">
      <c r="B270" s="1">
        <v>1269</v>
      </c>
    </row>
    <row r="271" spans="2:2" x14ac:dyDescent="0.25">
      <c r="B271" s="1">
        <v>1270</v>
      </c>
    </row>
    <row r="272" spans="2:2" x14ac:dyDescent="0.25">
      <c r="B272" s="1">
        <v>1271</v>
      </c>
    </row>
    <row r="273" spans="2:2" x14ac:dyDescent="0.25">
      <c r="B273" s="1">
        <v>1272</v>
      </c>
    </row>
    <row r="274" spans="2:2" x14ac:dyDescent="0.25">
      <c r="B274" s="1">
        <v>1273</v>
      </c>
    </row>
    <row r="275" spans="2:2" x14ac:dyDescent="0.25">
      <c r="B275" s="1">
        <v>1274</v>
      </c>
    </row>
    <row r="276" spans="2:2" x14ac:dyDescent="0.25">
      <c r="B276" s="1">
        <v>1275</v>
      </c>
    </row>
    <row r="277" spans="2:2" x14ac:dyDescent="0.25">
      <c r="B277" s="1">
        <v>1276</v>
      </c>
    </row>
    <row r="278" spans="2:2" x14ac:dyDescent="0.25">
      <c r="B278" s="1">
        <v>1277</v>
      </c>
    </row>
    <row r="279" spans="2:2" x14ac:dyDescent="0.25">
      <c r="B279" s="1">
        <v>1278</v>
      </c>
    </row>
    <row r="280" spans="2:2" x14ac:dyDescent="0.25">
      <c r="B280" s="1">
        <v>1279</v>
      </c>
    </row>
    <row r="281" spans="2:2" x14ac:dyDescent="0.25">
      <c r="B281" s="1">
        <v>1280</v>
      </c>
    </row>
    <row r="282" spans="2:2" x14ac:dyDescent="0.25">
      <c r="B282" s="1">
        <v>1281</v>
      </c>
    </row>
    <row r="283" spans="2:2" x14ac:dyDescent="0.25">
      <c r="B283" s="1">
        <v>1282</v>
      </c>
    </row>
    <row r="284" spans="2:2" x14ac:dyDescent="0.25">
      <c r="B284" s="1">
        <v>1283</v>
      </c>
    </row>
    <row r="285" spans="2:2" x14ac:dyDescent="0.25">
      <c r="B285" s="1">
        <v>1284</v>
      </c>
    </row>
    <row r="286" spans="2:2" x14ac:dyDescent="0.25">
      <c r="B286" s="1">
        <v>1285</v>
      </c>
    </row>
    <row r="287" spans="2:2" x14ac:dyDescent="0.25">
      <c r="B287" s="1">
        <v>1286</v>
      </c>
    </row>
    <row r="288" spans="2:2" x14ac:dyDescent="0.25">
      <c r="B288" s="1">
        <v>1287</v>
      </c>
    </row>
    <row r="289" spans="2:2" x14ac:dyDescent="0.25">
      <c r="B289" s="1">
        <v>1288</v>
      </c>
    </row>
    <row r="290" spans="2:2" x14ac:dyDescent="0.25">
      <c r="B290" s="1">
        <v>1289</v>
      </c>
    </row>
    <row r="291" spans="2:2" x14ac:dyDescent="0.25">
      <c r="B291" s="1">
        <v>1290</v>
      </c>
    </row>
    <row r="292" spans="2:2" x14ac:dyDescent="0.25">
      <c r="B292" s="1">
        <v>1291</v>
      </c>
    </row>
    <row r="293" spans="2:2" x14ac:dyDescent="0.25">
      <c r="B293" s="1">
        <v>1292</v>
      </c>
    </row>
    <row r="294" spans="2:2" x14ac:dyDescent="0.25">
      <c r="B294" s="1">
        <v>1293</v>
      </c>
    </row>
    <row r="295" spans="2:2" x14ac:dyDescent="0.25">
      <c r="B295" s="1">
        <v>1294</v>
      </c>
    </row>
    <row r="296" spans="2:2" x14ac:dyDescent="0.25">
      <c r="B296" s="1">
        <v>1295</v>
      </c>
    </row>
    <row r="297" spans="2:2" x14ac:dyDescent="0.25">
      <c r="B297" s="1">
        <v>1296</v>
      </c>
    </row>
    <row r="298" spans="2:2" x14ac:dyDescent="0.25">
      <c r="B298" s="1">
        <v>1297</v>
      </c>
    </row>
    <row r="299" spans="2:2" x14ac:dyDescent="0.25">
      <c r="B299" s="1">
        <v>1298</v>
      </c>
    </row>
    <row r="300" spans="2:2" x14ac:dyDescent="0.25">
      <c r="B300" s="1">
        <v>1299</v>
      </c>
    </row>
    <row r="301" spans="2:2" x14ac:dyDescent="0.25">
      <c r="B301" s="1">
        <v>1300</v>
      </c>
    </row>
    <row r="302" spans="2:2" x14ac:dyDescent="0.25">
      <c r="B302" s="1">
        <v>1301</v>
      </c>
    </row>
    <row r="303" spans="2:2" x14ac:dyDescent="0.25">
      <c r="B303" s="1">
        <v>1302</v>
      </c>
    </row>
    <row r="304" spans="2:2" x14ac:dyDescent="0.25">
      <c r="B304" s="1">
        <v>1303</v>
      </c>
    </row>
    <row r="305" spans="2:2" x14ac:dyDescent="0.25">
      <c r="B305" s="1">
        <v>1304</v>
      </c>
    </row>
    <row r="306" spans="2:2" x14ac:dyDescent="0.25">
      <c r="B306" s="1">
        <v>1305</v>
      </c>
    </row>
    <row r="307" spans="2:2" x14ac:dyDescent="0.25">
      <c r="B307" s="1">
        <v>1306</v>
      </c>
    </row>
    <row r="308" spans="2:2" x14ac:dyDescent="0.25">
      <c r="B308" s="1">
        <v>1307</v>
      </c>
    </row>
    <row r="309" spans="2:2" x14ac:dyDescent="0.25">
      <c r="B309" s="1">
        <v>1308</v>
      </c>
    </row>
    <row r="310" spans="2:2" x14ac:dyDescent="0.25">
      <c r="B310" s="1">
        <v>1309</v>
      </c>
    </row>
    <row r="311" spans="2:2" x14ac:dyDescent="0.25">
      <c r="B311" s="1">
        <v>1310</v>
      </c>
    </row>
    <row r="312" spans="2:2" x14ac:dyDescent="0.25">
      <c r="B312" s="1">
        <v>1311</v>
      </c>
    </row>
    <row r="313" spans="2:2" x14ac:dyDescent="0.25">
      <c r="B313" s="1">
        <v>1312</v>
      </c>
    </row>
    <row r="314" spans="2:2" x14ac:dyDescent="0.25">
      <c r="B314" s="1">
        <v>1313</v>
      </c>
    </row>
    <row r="315" spans="2:2" x14ac:dyDescent="0.25">
      <c r="B315" s="1">
        <v>1314</v>
      </c>
    </row>
    <row r="316" spans="2:2" x14ac:dyDescent="0.25">
      <c r="B316" s="1">
        <v>1315</v>
      </c>
    </row>
    <row r="317" spans="2:2" x14ac:dyDescent="0.25">
      <c r="B317" s="1">
        <v>1316</v>
      </c>
    </row>
    <row r="318" spans="2:2" x14ac:dyDescent="0.25">
      <c r="B318" s="1">
        <v>1317</v>
      </c>
    </row>
    <row r="319" spans="2:2" x14ac:dyDescent="0.25">
      <c r="B319" s="1">
        <v>1318</v>
      </c>
    </row>
    <row r="320" spans="2:2" x14ac:dyDescent="0.25">
      <c r="B320" s="1">
        <v>1319</v>
      </c>
    </row>
    <row r="321" spans="2:2" x14ac:dyDescent="0.25">
      <c r="B321" s="1">
        <v>1320</v>
      </c>
    </row>
    <row r="322" spans="2:2" x14ac:dyDescent="0.25">
      <c r="B322" s="1">
        <v>1321</v>
      </c>
    </row>
    <row r="323" spans="2:2" x14ac:dyDescent="0.25">
      <c r="B323" s="1">
        <v>1322</v>
      </c>
    </row>
    <row r="324" spans="2:2" x14ac:dyDescent="0.25">
      <c r="B324" s="1">
        <v>1323</v>
      </c>
    </row>
    <row r="325" spans="2:2" x14ac:dyDescent="0.25">
      <c r="B325" s="1">
        <v>1324</v>
      </c>
    </row>
    <row r="326" spans="2:2" x14ac:dyDescent="0.25">
      <c r="B326" s="1">
        <v>1325</v>
      </c>
    </row>
    <row r="327" spans="2:2" x14ac:dyDescent="0.25">
      <c r="B327" s="1">
        <v>1326</v>
      </c>
    </row>
    <row r="328" spans="2:2" x14ac:dyDescent="0.25">
      <c r="B328" s="1">
        <v>1327</v>
      </c>
    </row>
    <row r="329" spans="2:2" x14ac:dyDescent="0.25">
      <c r="B329" s="1">
        <v>1328</v>
      </c>
    </row>
    <row r="330" spans="2:2" x14ac:dyDescent="0.25">
      <c r="B330" s="1">
        <v>1329</v>
      </c>
    </row>
    <row r="331" spans="2:2" x14ac:dyDescent="0.25">
      <c r="B331" s="1">
        <v>1330</v>
      </c>
    </row>
    <row r="332" spans="2:2" x14ac:dyDescent="0.25">
      <c r="B332" s="1">
        <v>1331</v>
      </c>
    </row>
    <row r="333" spans="2:2" x14ac:dyDescent="0.25">
      <c r="B333" s="1">
        <v>1332</v>
      </c>
    </row>
    <row r="334" spans="2:2" x14ac:dyDescent="0.25">
      <c r="B334" s="1">
        <v>1333</v>
      </c>
    </row>
    <row r="335" spans="2:2" x14ac:dyDescent="0.25">
      <c r="B335" s="1">
        <v>1334</v>
      </c>
    </row>
    <row r="336" spans="2:2" x14ac:dyDescent="0.25">
      <c r="B336" s="1">
        <v>1335</v>
      </c>
    </row>
    <row r="337" spans="2:2" x14ac:dyDescent="0.25">
      <c r="B337" s="1">
        <v>1336</v>
      </c>
    </row>
    <row r="338" spans="2:2" x14ac:dyDescent="0.25">
      <c r="B338" s="1">
        <v>1337</v>
      </c>
    </row>
    <row r="339" spans="2:2" x14ac:dyDescent="0.25">
      <c r="B339" s="1">
        <v>1338</v>
      </c>
    </row>
    <row r="340" spans="2:2" x14ac:dyDescent="0.25">
      <c r="B340" s="1">
        <v>1339</v>
      </c>
    </row>
    <row r="341" spans="2:2" x14ac:dyDescent="0.25">
      <c r="B341" s="1">
        <v>1340</v>
      </c>
    </row>
    <row r="342" spans="2:2" x14ac:dyDescent="0.25">
      <c r="B342" s="1">
        <v>1341</v>
      </c>
    </row>
    <row r="343" spans="2:2" x14ac:dyDescent="0.25">
      <c r="B343" s="1">
        <v>1342</v>
      </c>
    </row>
    <row r="344" spans="2:2" x14ac:dyDescent="0.25">
      <c r="B344" s="1">
        <v>1343</v>
      </c>
    </row>
    <row r="345" spans="2:2" x14ac:dyDescent="0.25">
      <c r="B345" s="1">
        <v>1344</v>
      </c>
    </row>
    <row r="346" spans="2:2" x14ac:dyDescent="0.25">
      <c r="B346" s="1">
        <v>1345</v>
      </c>
    </row>
    <row r="347" spans="2:2" x14ac:dyDescent="0.25">
      <c r="B347" s="1">
        <v>1346</v>
      </c>
    </row>
    <row r="348" spans="2:2" x14ac:dyDescent="0.25">
      <c r="B348" s="1">
        <v>1347</v>
      </c>
    </row>
    <row r="349" spans="2:2" x14ac:dyDescent="0.25">
      <c r="B349" s="1">
        <v>1348</v>
      </c>
    </row>
    <row r="350" spans="2:2" x14ac:dyDescent="0.25">
      <c r="B350" s="1">
        <v>1349</v>
      </c>
    </row>
    <row r="351" spans="2:2" x14ac:dyDescent="0.25">
      <c r="B351" s="1">
        <v>1350</v>
      </c>
    </row>
    <row r="352" spans="2:2" x14ac:dyDescent="0.25">
      <c r="B352" s="1">
        <v>1351</v>
      </c>
    </row>
    <row r="353" spans="2:2" x14ac:dyDescent="0.25">
      <c r="B353" s="1">
        <v>1352</v>
      </c>
    </row>
    <row r="354" spans="2:2" x14ac:dyDescent="0.25">
      <c r="B354" s="1">
        <v>1353</v>
      </c>
    </row>
    <row r="355" spans="2:2" x14ac:dyDescent="0.25">
      <c r="B355" s="1">
        <v>1354</v>
      </c>
    </row>
    <row r="356" spans="2:2" x14ac:dyDescent="0.25">
      <c r="B356" s="1">
        <v>1355</v>
      </c>
    </row>
    <row r="357" spans="2:2" x14ac:dyDescent="0.25">
      <c r="B357" s="1">
        <v>1356</v>
      </c>
    </row>
    <row r="358" spans="2:2" x14ac:dyDescent="0.25">
      <c r="B358" s="1">
        <v>1357</v>
      </c>
    </row>
    <row r="359" spans="2:2" x14ac:dyDescent="0.25">
      <c r="B359" s="1">
        <v>1358</v>
      </c>
    </row>
    <row r="360" spans="2:2" x14ac:dyDescent="0.25">
      <c r="B360" s="1">
        <v>1359</v>
      </c>
    </row>
    <row r="361" spans="2:2" x14ac:dyDescent="0.25">
      <c r="B361" s="1">
        <v>1360</v>
      </c>
    </row>
    <row r="362" spans="2:2" x14ac:dyDescent="0.25">
      <c r="B362" s="1">
        <v>1361</v>
      </c>
    </row>
    <row r="363" spans="2:2" x14ac:dyDescent="0.25">
      <c r="B363" s="1">
        <v>1362</v>
      </c>
    </row>
    <row r="364" spans="2:2" x14ac:dyDescent="0.25">
      <c r="B364" s="1">
        <v>1363</v>
      </c>
    </row>
    <row r="365" spans="2:2" x14ac:dyDescent="0.25">
      <c r="B365" s="1">
        <v>1364</v>
      </c>
    </row>
    <row r="366" spans="2:2" x14ac:dyDescent="0.25">
      <c r="B366" s="1">
        <v>1365</v>
      </c>
    </row>
    <row r="367" spans="2:2" x14ac:dyDescent="0.25">
      <c r="B367" s="1">
        <v>1366</v>
      </c>
    </row>
    <row r="368" spans="2:2" x14ac:dyDescent="0.25">
      <c r="B368" s="1">
        <v>1367</v>
      </c>
    </row>
    <row r="369" spans="2:2" x14ac:dyDescent="0.25">
      <c r="B369" s="1">
        <v>1368</v>
      </c>
    </row>
    <row r="370" spans="2:2" x14ac:dyDescent="0.25">
      <c r="B370" s="1">
        <v>1369</v>
      </c>
    </row>
    <row r="371" spans="2:2" x14ac:dyDescent="0.25">
      <c r="B371" s="1">
        <v>1370</v>
      </c>
    </row>
    <row r="372" spans="2:2" x14ac:dyDescent="0.25">
      <c r="B372" s="1">
        <v>1371</v>
      </c>
    </row>
    <row r="373" spans="2:2" x14ac:dyDescent="0.25">
      <c r="B373" s="1">
        <v>1372</v>
      </c>
    </row>
    <row r="374" spans="2:2" x14ac:dyDescent="0.25">
      <c r="B374" s="1">
        <v>1373</v>
      </c>
    </row>
    <row r="375" spans="2:2" x14ac:dyDescent="0.25">
      <c r="B375" s="1">
        <v>1374</v>
      </c>
    </row>
    <row r="376" spans="2:2" x14ac:dyDescent="0.25">
      <c r="B376" s="1">
        <v>1375</v>
      </c>
    </row>
    <row r="377" spans="2:2" x14ac:dyDescent="0.25">
      <c r="B377" s="1">
        <v>1376</v>
      </c>
    </row>
    <row r="378" spans="2:2" x14ac:dyDescent="0.25">
      <c r="B378" s="1">
        <v>1377</v>
      </c>
    </row>
    <row r="379" spans="2:2" x14ac:dyDescent="0.25">
      <c r="B379" s="1">
        <v>1378</v>
      </c>
    </row>
    <row r="380" spans="2:2" x14ac:dyDescent="0.25">
      <c r="B380" s="1">
        <v>1379</v>
      </c>
    </row>
    <row r="381" spans="2:2" x14ac:dyDescent="0.25">
      <c r="B381" s="1">
        <v>1380</v>
      </c>
    </row>
    <row r="382" spans="2:2" x14ac:dyDescent="0.25">
      <c r="B382" s="1">
        <v>1381</v>
      </c>
    </row>
    <row r="383" spans="2:2" x14ac:dyDescent="0.25">
      <c r="B383" s="1">
        <v>1382</v>
      </c>
    </row>
    <row r="384" spans="2:2" x14ac:dyDescent="0.25">
      <c r="B384" s="1">
        <v>1383</v>
      </c>
    </row>
    <row r="385" spans="2:2" x14ac:dyDescent="0.25">
      <c r="B385" s="1">
        <v>1384</v>
      </c>
    </row>
    <row r="386" spans="2:2" x14ac:dyDescent="0.25">
      <c r="B386" s="1">
        <v>1385</v>
      </c>
    </row>
    <row r="387" spans="2:2" x14ac:dyDescent="0.25">
      <c r="B387" s="1">
        <v>1386</v>
      </c>
    </row>
    <row r="388" spans="2:2" x14ac:dyDescent="0.25">
      <c r="B388" s="1">
        <v>1387</v>
      </c>
    </row>
    <row r="389" spans="2:2" x14ac:dyDescent="0.25">
      <c r="B389" s="1">
        <v>1388</v>
      </c>
    </row>
    <row r="390" spans="2:2" x14ac:dyDescent="0.25">
      <c r="B390" s="1">
        <v>1389</v>
      </c>
    </row>
    <row r="391" spans="2:2" x14ac:dyDescent="0.25">
      <c r="B391" s="1">
        <v>1390</v>
      </c>
    </row>
    <row r="392" spans="2:2" x14ac:dyDescent="0.25">
      <c r="B392" s="1">
        <v>1391</v>
      </c>
    </row>
    <row r="393" spans="2:2" x14ac:dyDescent="0.25">
      <c r="B393" s="1">
        <v>1392</v>
      </c>
    </row>
    <row r="394" spans="2:2" x14ac:dyDescent="0.25">
      <c r="B394" s="1">
        <v>1393</v>
      </c>
    </row>
    <row r="395" spans="2:2" x14ac:dyDescent="0.25">
      <c r="B395" s="1">
        <v>1394</v>
      </c>
    </row>
    <row r="396" spans="2:2" x14ac:dyDescent="0.25">
      <c r="B396" s="1">
        <v>1395</v>
      </c>
    </row>
    <row r="397" spans="2:2" x14ac:dyDescent="0.25">
      <c r="B397" s="1">
        <v>1396</v>
      </c>
    </row>
    <row r="398" spans="2:2" x14ac:dyDescent="0.25">
      <c r="B398" s="1">
        <v>1397</v>
      </c>
    </row>
    <row r="399" spans="2:2" x14ac:dyDescent="0.25">
      <c r="B399" s="1">
        <v>1398</v>
      </c>
    </row>
    <row r="400" spans="2:2" x14ac:dyDescent="0.25">
      <c r="B400" s="1">
        <v>1399</v>
      </c>
    </row>
    <row r="401" spans="2:2" x14ac:dyDescent="0.25">
      <c r="B401" s="1">
        <v>1400</v>
      </c>
    </row>
    <row r="402" spans="2:2" x14ac:dyDescent="0.25">
      <c r="B402" s="1">
        <v>1401</v>
      </c>
    </row>
    <row r="403" spans="2:2" x14ac:dyDescent="0.25">
      <c r="B403" s="1">
        <v>1402</v>
      </c>
    </row>
    <row r="404" spans="2:2" x14ac:dyDescent="0.25">
      <c r="B404" s="1">
        <v>1403</v>
      </c>
    </row>
    <row r="405" spans="2:2" x14ac:dyDescent="0.25">
      <c r="B405" s="1">
        <v>1404</v>
      </c>
    </row>
    <row r="406" spans="2:2" x14ac:dyDescent="0.25">
      <c r="B406" s="1">
        <v>1405</v>
      </c>
    </row>
    <row r="407" spans="2:2" x14ac:dyDescent="0.25">
      <c r="B407" s="1">
        <v>1406</v>
      </c>
    </row>
    <row r="408" spans="2:2" x14ac:dyDescent="0.25">
      <c r="B408" s="1">
        <v>1407</v>
      </c>
    </row>
    <row r="409" spans="2:2" x14ac:dyDescent="0.25">
      <c r="B409" s="1">
        <v>1408</v>
      </c>
    </row>
    <row r="410" spans="2:2" x14ac:dyDescent="0.25">
      <c r="B410" s="1">
        <v>1409</v>
      </c>
    </row>
    <row r="411" spans="2:2" x14ac:dyDescent="0.25">
      <c r="B411" s="1">
        <v>1410</v>
      </c>
    </row>
    <row r="412" spans="2:2" x14ac:dyDescent="0.25">
      <c r="B412" s="1">
        <v>1411</v>
      </c>
    </row>
    <row r="413" spans="2:2" x14ac:dyDescent="0.25">
      <c r="B413" s="1">
        <v>1412</v>
      </c>
    </row>
    <row r="414" spans="2:2" x14ac:dyDescent="0.25">
      <c r="B414" s="1">
        <v>1413</v>
      </c>
    </row>
    <row r="415" spans="2:2" x14ac:dyDescent="0.25">
      <c r="B415" s="1">
        <v>1414</v>
      </c>
    </row>
    <row r="416" spans="2:2" x14ac:dyDescent="0.25">
      <c r="B416" s="1">
        <v>1415</v>
      </c>
    </row>
    <row r="417" spans="2:2" x14ac:dyDescent="0.25">
      <c r="B417" s="1">
        <v>1416</v>
      </c>
    </row>
    <row r="418" spans="2:2" x14ac:dyDescent="0.25">
      <c r="B418" s="1">
        <v>1417</v>
      </c>
    </row>
    <row r="419" spans="2:2" x14ac:dyDescent="0.25">
      <c r="B419" s="1">
        <v>1418</v>
      </c>
    </row>
    <row r="420" spans="2:2" x14ac:dyDescent="0.25">
      <c r="B420" s="1">
        <v>1419</v>
      </c>
    </row>
    <row r="421" spans="2:2" x14ac:dyDescent="0.25">
      <c r="B421" s="1">
        <v>1420</v>
      </c>
    </row>
    <row r="422" spans="2:2" x14ac:dyDescent="0.25">
      <c r="B422" s="1">
        <v>1421</v>
      </c>
    </row>
    <row r="423" spans="2:2" x14ac:dyDescent="0.25">
      <c r="B423" s="1">
        <v>1422</v>
      </c>
    </row>
    <row r="424" spans="2:2" x14ac:dyDescent="0.25">
      <c r="B424" s="1">
        <v>1423</v>
      </c>
    </row>
    <row r="425" spans="2:2" x14ac:dyDescent="0.25">
      <c r="B425" s="1">
        <v>1424</v>
      </c>
    </row>
    <row r="426" spans="2:2" x14ac:dyDescent="0.25">
      <c r="B426" s="1">
        <v>1425</v>
      </c>
    </row>
    <row r="427" spans="2:2" x14ac:dyDescent="0.25">
      <c r="B427" s="1">
        <v>1426</v>
      </c>
    </row>
    <row r="428" spans="2:2" x14ac:dyDescent="0.25">
      <c r="B428" s="1">
        <v>1427</v>
      </c>
    </row>
    <row r="429" spans="2:2" x14ac:dyDescent="0.25">
      <c r="B429" s="1">
        <v>1428</v>
      </c>
    </row>
    <row r="430" spans="2:2" x14ac:dyDescent="0.25">
      <c r="B430" s="1">
        <v>1429</v>
      </c>
    </row>
    <row r="431" spans="2:2" x14ac:dyDescent="0.25">
      <c r="B431" s="1">
        <v>1430</v>
      </c>
    </row>
    <row r="432" spans="2:2" x14ac:dyDescent="0.25">
      <c r="B432" s="1">
        <v>1431</v>
      </c>
    </row>
    <row r="433" spans="2:2" x14ac:dyDescent="0.25">
      <c r="B433" s="1">
        <v>1432</v>
      </c>
    </row>
    <row r="434" spans="2:2" x14ac:dyDescent="0.25">
      <c r="B434" s="1">
        <v>1433</v>
      </c>
    </row>
    <row r="435" spans="2:2" x14ac:dyDescent="0.25">
      <c r="B435" s="1">
        <v>1434</v>
      </c>
    </row>
    <row r="436" spans="2:2" x14ac:dyDescent="0.25">
      <c r="B436" s="1">
        <v>1435</v>
      </c>
    </row>
    <row r="437" spans="2:2" x14ac:dyDescent="0.25">
      <c r="B437" s="1">
        <v>1436</v>
      </c>
    </row>
    <row r="438" spans="2:2" x14ac:dyDescent="0.25">
      <c r="B438" s="1">
        <v>1437</v>
      </c>
    </row>
    <row r="439" spans="2:2" x14ac:dyDescent="0.25">
      <c r="B439" s="1">
        <v>1438</v>
      </c>
    </row>
    <row r="440" spans="2:2" x14ac:dyDescent="0.25">
      <c r="B440" s="1">
        <v>1439</v>
      </c>
    </row>
    <row r="441" spans="2:2" x14ac:dyDescent="0.25">
      <c r="B441" s="1">
        <v>1440</v>
      </c>
    </row>
    <row r="442" spans="2:2" x14ac:dyDescent="0.25">
      <c r="B442" s="1">
        <v>1441</v>
      </c>
    </row>
    <row r="443" spans="2:2" x14ac:dyDescent="0.25">
      <c r="B443" s="1">
        <v>1442</v>
      </c>
    </row>
    <row r="444" spans="2:2" x14ac:dyDescent="0.25">
      <c r="B444" s="1">
        <v>1443</v>
      </c>
    </row>
    <row r="445" spans="2:2" x14ac:dyDescent="0.25">
      <c r="B445" s="1">
        <v>1444</v>
      </c>
    </row>
    <row r="446" spans="2:2" x14ac:dyDescent="0.25">
      <c r="B446" s="1">
        <v>1445</v>
      </c>
    </row>
    <row r="447" spans="2:2" x14ac:dyDescent="0.25">
      <c r="B447" s="1">
        <v>1446</v>
      </c>
    </row>
    <row r="448" spans="2:2" x14ac:dyDescent="0.25">
      <c r="B448" s="1">
        <v>1447</v>
      </c>
    </row>
    <row r="449" spans="2:2" x14ac:dyDescent="0.25">
      <c r="B449" s="1">
        <v>1448</v>
      </c>
    </row>
    <row r="450" spans="2:2" x14ac:dyDescent="0.25">
      <c r="B450" s="1">
        <v>1449</v>
      </c>
    </row>
    <row r="451" spans="2:2" x14ac:dyDescent="0.25">
      <c r="B451" s="1">
        <v>1450</v>
      </c>
    </row>
    <row r="452" spans="2:2" x14ac:dyDescent="0.25">
      <c r="B452" s="1">
        <v>1451</v>
      </c>
    </row>
    <row r="453" spans="2:2" x14ac:dyDescent="0.25">
      <c r="B453" s="1">
        <v>1452</v>
      </c>
    </row>
    <row r="454" spans="2:2" x14ac:dyDescent="0.25">
      <c r="B454" s="1">
        <v>1453</v>
      </c>
    </row>
    <row r="455" spans="2:2" x14ac:dyDescent="0.25">
      <c r="B455" s="1">
        <v>1454</v>
      </c>
    </row>
    <row r="456" spans="2:2" x14ac:dyDescent="0.25">
      <c r="B456" s="1">
        <v>1455</v>
      </c>
    </row>
    <row r="457" spans="2:2" x14ac:dyDescent="0.25">
      <c r="B457" s="1">
        <v>1456</v>
      </c>
    </row>
    <row r="458" spans="2:2" x14ac:dyDescent="0.25">
      <c r="B458" s="1">
        <v>1457</v>
      </c>
    </row>
    <row r="459" spans="2:2" x14ac:dyDescent="0.25">
      <c r="B459" s="1">
        <v>1458</v>
      </c>
    </row>
    <row r="460" spans="2:2" x14ac:dyDescent="0.25">
      <c r="B460" s="1">
        <v>1459</v>
      </c>
    </row>
    <row r="461" spans="2:2" x14ac:dyDescent="0.25">
      <c r="B461" s="1">
        <v>1460</v>
      </c>
    </row>
    <row r="462" spans="2:2" x14ac:dyDescent="0.25">
      <c r="B462" s="1">
        <v>1461</v>
      </c>
    </row>
    <row r="463" spans="2:2" x14ac:dyDescent="0.25">
      <c r="B463" s="1">
        <v>1462</v>
      </c>
    </row>
    <row r="464" spans="2:2" x14ac:dyDescent="0.25">
      <c r="B464" s="1">
        <v>1463</v>
      </c>
    </row>
    <row r="465" spans="2:2" x14ac:dyDescent="0.25">
      <c r="B465" s="1">
        <v>1464</v>
      </c>
    </row>
    <row r="466" spans="2:2" x14ac:dyDescent="0.25">
      <c r="B466" s="1">
        <v>1465</v>
      </c>
    </row>
    <row r="467" spans="2:2" x14ac:dyDescent="0.25">
      <c r="B467" s="1">
        <v>1466</v>
      </c>
    </row>
    <row r="468" spans="2:2" x14ac:dyDescent="0.25">
      <c r="B468" s="1">
        <v>1467</v>
      </c>
    </row>
    <row r="469" spans="2:2" x14ac:dyDescent="0.25">
      <c r="B469" s="1">
        <v>1468</v>
      </c>
    </row>
    <row r="470" spans="2:2" x14ac:dyDescent="0.25">
      <c r="B470" s="1">
        <v>1469</v>
      </c>
    </row>
    <row r="471" spans="2:2" x14ac:dyDescent="0.25">
      <c r="B471" s="1">
        <v>1470</v>
      </c>
    </row>
    <row r="472" spans="2:2" x14ac:dyDescent="0.25">
      <c r="B472" s="1">
        <v>1471</v>
      </c>
    </row>
    <row r="473" spans="2:2" x14ac:dyDescent="0.25">
      <c r="B473" s="1">
        <v>1472</v>
      </c>
    </row>
    <row r="474" spans="2:2" x14ac:dyDescent="0.25">
      <c r="B474" s="1">
        <v>1473</v>
      </c>
    </row>
    <row r="475" spans="2:2" x14ac:dyDescent="0.25">
      <c r="B475" s="1">
        <v>1474</v>
      </c>
    </row>
    <row r="476" spans="2:2" x14ac:dyDescent="0.25">
      <c r="B476" s="1">
        <v>1475</v>
      </c>
    </row>
    <row r="477" spans="2:2" x14ac:dyDescent="0.25">
      <c r="B477" s="1">
        <v>1476</v>
      </c>
    </row>
    <row r="478" spans="2:2" x14ac:dyDescent="0.25">
      <c r="B478" s="1">
        <v>1477</v>
      </c>
    </row>
    <row r="479" spans="2:2" x14ac:dyDescent="0.25">
      <c r="B479" s="1">
        <v>1478</v>
      </c>
    </row>
    <row r="480" spans="2:2" x14ac:dyDescent="0.25">
      <c r="B480" s="1">
        <v>1479</v>
      </c>
    </row>
    <row r="481" spans="2:2" x14ac:dyDescent="0.25">
      <c r="B481" s="1">
        <v>1480</v>
      </c>
    </row>
    <row r="482" spans="2:2" x14ac:dyDescent="0.25">
      <c r="B482" s="1">
        <v>1481</v>
      </c>
    </row>
    <row r="483" spans="2:2" x14ac:dyDescent="0.25">
      <c r="B483" s="1">
        <v>1482</v>
      </c>
    </row>
    <row r="484" spans="2:2" x14ac:dyDescent="0.25">
      <c r="B484" s="1">
        <v>1483</v>
      </c>
    </row>
    <row r="485" spans="2:2" x14ac:dyDescent="0.25">
      <c r="B485" s="1">
        <v>1484</v>
      </c>
    </row>
    <row r="486" spans="2:2" x14ac:dyDescent="0.25">
      <c r="B486" s="1">
        <v>1485</v>
      </c>
    </row>
    <row r="487" spans="2:2" x14ac:dyDescent="0.25">
      <c r="B487" s="1">
        <v>1486</v>
      </c>
    </row>
    <row r="488" spans="2:2" x14ac:dyDescent="0.25">
      <c r="B488" s="1">
        <v>1487</v>
      </c>
    </row>
    <row r="489" spans="2:2" x14ac:dyDescent="0.25">
      <c r="B489" s="1">
        <v>1488</v>
      </c>
    </row>
    <row r="490" spans="2:2" x14ac:dyDescent="0.25">
      <c r="B490" s="1">
        <v>1489</v>
      </c>
    </row>
    <row r="491" spans="2:2" x14ac:dyDescent="0.25">
      <c r="B491" s="1">
        <v>1490</v>
      </c>
    </row>
    <row r="492" spans="2:2" x14ac:dyDescent="0.25">
      <c r="B492" s="1">
        <v>1491</v>
      </c>
    </row>
    <row r="493" spans="2:2" x14ac:dyDescent="0.25">
      <c r="B493" s="1">
        <v>1492</v>
      </c>
    </row>
    <row r="494" spans="2:2" x14ac:dyDescent="0.25">
      <c r="B494" s="1">
        <v>1493</v>
      </c>
    </row>
    <row r="495" spans="2:2" x14ac:dyDescent="0.25">
      <c r="B495" s="1">
        <v>1494</v>
      </c>
    </row>
    <row r="496" spans="2:2" x14ac:dyDescent="0.25">
      <c r="B496" s="1">
        <v>1495</v>
      </c>
    </row>
    <row r="497" spans="2:2" x14ac:dyDescent="0.25">
      <c r="B497" s="1">
        <v>1496</v>
      </c>
    </row>
    <row r="498" spans="2:2" x14ac:dyDescent="0.25">
      <c r="B498" s="1">
        <v>1497</v>
      </c>
    </row>
    <row r="499" spans="2:2" x14ac:dyDescent="0.25">
      <c r="B499" s="1">
        <v>1498</v>
      </c>
    </row>
    <row r="500" spans="2:2" x14ac:dyDescent="0.25">
      <c r="B500" s="1">
        <v>1499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14"/>
  <sheetViews>
    <sheetView workbookViewId="0">
      <selection activeCell="D25" sqref="D25"/>
    </sheetView>
  </sheetViews>
  <sheetFormatPr baseColWidth="10" defaultRowHeight="15" x14ac:dyDescent="0.25"/>
  <cols>
    <col min="1" max="1" width="37.85546875" bestFit="1" customWidth="1"/>
    <col min="2" max="2" width="12" bestFit="1" customWidth="1"/>
    <col min="3" max="3" width="15.7109375" bestFit="1" customWidth="1"/>
    <col min="4" max="4" width="16.85546875" bestFit="1" customWidth="1"/>
    <col min="5" max="5" width="15.7109375" bestFit="1" customWidth="1"/>
    <col min="7" max="7" width="2" style="1" bestFit="1" customWidth="1"/>
  </cols>
  <sheetData>
    <row r="1" spans="1:8" x14ac:dyDescent="0.25">
      <c r="A1" s="1" t="s">
        <v>35</v>
      </c>
      <c r="B1" s="1" t="s">
        <v>36</v>
      </c>
      <c r="C1" s="1" t="s">
        <v>37</v>
      </c>
      <c r="D1" s="1" t="s">
        <v>38</v>
      </c>
      <c r="E1" s="1" t="s">
        <v>39</v>
      </c>
    </row>
    <row r="2" spans="1:8" x14ac:dyDescent="0.25">
      <c r="A2" t="s">
        <v>77</v>
      </c>
      <c r="B2">
        <v>7509802</v>
      </c>
      <c r="C2" s="3">
        <v>42753.297951388886</v>
      </c>
      <c r="D2" s="3">
        <v>42752.331157407411</v>
      </c>
      <c r="E2" s="3">
        <v>42753.297951388886</v>
      </c>
      <c r="G2" s="1">
        <f>COUNTA(A2:A65000)</f>
        <v>13</v>
      </c>
      <c r="H2" t="s">
        <v>31</v>
      </c>
    </row>
    <row r="3" spans="1:8" x14ac:dyDescent="0.25">
      <c r="A3" t="s">
        <v>91</v>
      </c>
      <c r="B3">
        <v>7466</v>
      </c>
      <c r="C3" s="3">
        <v>42753.297951388886</v>
      </c>
      <c r="D3" s="3">
        <v>42752.331157407411</v>
      </c>
      <c r="E3" s="3">
        <v>42753.297951388886</v>
      </c>
      <c r="F3" t="s">
        <v>33</v>
      </c>
    </row>
    <row r="4" spans="1:8" x14ac:dyDescent="0.25">
      <c r="A4" t="s">
        <v>28</v>
      </c>
      <c r="B4">
        <v>8339</v>
      </c>
      <c r="C4" s="3">
        <v>42753.297951388886</v>
      </c>
      <c r="D4" s="3">
        <v>42752.331157407411</v>
      </c>
      <c r="E4" s="3">
        <v>42753.297951388886</v>
      </c>
    </row>
    <row r="5" spans="1:8" x14ac:dyDescent="0.25">
      <c r="A5" t="s">
        <v>89</v>
      </c>
      <c r="B5">
        <v>22014</v>
      </c>
      <c r="C5" s="3">
        <v>42753.297951388886</v>
      </c>
      <c r="D5" s="3">
        <v>42752.331157407411</v>
      </c>
      <c r="E5" s="3">
        <v>42753.297951388886</v>
      </c>
    </row>
    <row r="6" spans="1:8" x14ac:dyDescent="0.25">
      <c r="A6" t="s">
        <v>92</v>
      </c>
      <c r="B6">
        <v>33058</v>
      </c>
      <c r="C6" s="3">
        <v>42753.297951388886</v>
      </c>
      <c r="D6" s="3">
        <v>42752.331157407411</v>
      </c>
      <c r="E6" s="3">
        <v>42753.297951388886</v>
      </c>
    </row>
    <row r="7" spans="1:8" x14ac:dyDescent="0.25">
      <c r="A7" t="s">
        <v>93</v>
      </c>
      <c r="B7">
        <v>17459</v>
      </c>
      <c r="C7" s="3">
        <v>42753.297951388886</v>
      </c>
      <c r="D7" s="3">
        <v>42752.331157407411</v>
      </c>
      <c r="E7" s="3">
        <v>42753.297951388886</v>
      </c>
    </row>
    <row r="8" spans="1:8" x14ac:dyDescent="0.25">
      <c r="A8" t="s">
        <v>49</v>
      </c>
      <c r="B8">
        <v>708436</v>
      </c>
      <c r="C8" s="3">
        <v>42753.297951388886</v>
      </c>
      <c r="D8" s="3">
        <v>42752.331157407411</v>
      </c>
      <c r="E8" s="3">
        <v>42753.297951388886</v>
      </c>
    </row>
    <row r="9" spans="1:8" x14ac:dyDescent="0.25">
      <c r="A9" t="s">
        <v>94</v>
      </c>
      <c r="B9">
        <v>34629</v>
      </c>
      <c r="C9" s="3">
        <v>42753.297951388886</v>
      </c>
      <c r="D9" s="3">
        <v>42752.331157407411</v>
      </c>
      <c r="E9" s="3">
        <v>42753.297951388886</v>
      </c>
    </row>
    <row r="10" spans="1:8" x14ac:dyDescent="0.25">
      <c r="A10" t="s">
        <v>82</v>
      </c>
      <c r="B10">
        <v>69526</v>
      </c>
      <c r="C10" s="3">
        <v>42753.297951388886</v>
      </c>
      <c r="D10" s="3">
        <v>42752.331157407411</v>
      </c>
      <c r="E10" s="3">
        <v>42753.297951388886</v>
      </c>
    </row>
    <row r="11" spans="1:8" x14ac:dyDescent="0.25">
      <c r="A11" t="s">
        <v>72</v>
      </c>
      <c r="B11">
        <v>30815</v>
      </c>
      <c r="C11" s="3">
        <v>42753.297951388886</v>
      </c>
      <c r="D11" s="3">
        <v>42752.331157407411</v>
      </c>
      <c r="E11" s="3">
        <v>42753.297951388886</v>
      </c>
    </row>
    <row r="12" spans="1:8" x14ac:dyDescent="0.25">
      <c r="A12" t="s">
        <v>95</v>
      </c>
      <c r="B12">
        <v>1523760</v>
      </c>
      <c r="C12" s="3">
        <v>42753.297951388886</v>
      </c>
      <c r="D12" s="3">
        <v>42752.331157407411</v>
      </c>
      <c r="E12" s="3">
        <v>42753.297951388886</v>
      </c>
    </row>
    <row r="13" spans="1:8" x14ac:dyDescent="0.25">
      <c r="A13" t="s">
        <v>76</v>
      </c>
      <c r="B13">
        <v>191692</v>
      </c>
      <c r="C13" s="3">
        <v>42753.297951388886</v>
      </c>
      <c r="D13" s="3">
        <v>42752.331157407411</v>
      </c>
      <c r="E13" s="3">
        <v>42753.297951388886</v>
      </c>
    </row>
    <row r="14" spans="1:8" x14ac:dyDescent="0.25">
      <c r="A14" t="s">
        <v>32</v>
      </c>
      <c r="B14">
        <v>49137</v>
      </c>
      <c r="C14" s="3">
        <v>42753.297951388886</v>
      </c>
      <c r="D14" s="3">
        <v>42752.331157407411</v>
      </c>
      <c r="E14" s="3">
        <v>42753.297951388886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steFichiers">
                <anchor moveWithCells="1" sizeWithCells="1">
                  <from>
                    <xdr:col>7</xdr:col>
                    <xdr:colOff>19050</xdr:colOff>
                    <xdr:row>3</xdr:row>
                    <xdr:rowOff>0</xdr:rowOff>
                  </from>
                  <to>
                    <xdr:col>8</xdr:col>
                    <xdr:colOff>752475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home</vt:lpstr>
      <vt:lpstr>documents</vt:lpstr>
      <vt:lpstr>infos</vt:lpstr>
      <vt:lpstr>graphics</vt:lpstr>
      <vt:lpstr>settings</vt:lpstr>
      <vt:lpstr>listing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SLIMANI</dc:creator>
  <cp:lastModifiedBy>Anthony Slimani</cp:lastModifiedBy>
  <dcterms:created xsi:type="dcterms:W3CDTF">2017-01-06T13:44:16Z</dcterms:created>
  <dcterms:modified xsi:type="dcterms:W3CDTF">2017-01-18T06:29:18Z</dcterms:modified>
</cp:coreProperties>
</file>